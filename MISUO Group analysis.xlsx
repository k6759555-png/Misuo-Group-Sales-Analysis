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ata Analysis Mazen Analytics\Tasks\Excel\"/>
    </mc:Choice>
  </mc:AlternateContent>
  <xr:revisionPtr revIDLastSave="0" documentId="13_ncr:1_{17E1BC3F-5ABD-44A8-8314-C0FCD23210E3}" xr6:coauthVersionLast="47" xr6:coauthVersionMax="47" xr10:uidLastSave="{00000000-0000-0000-0000-000000000000}"/>
  <bookViews>
    <workbookView xWindow="-120" yWindow="-120" windowWidth="20730" windowHeight="11040" tabRatio="688" activeTab="2" xr2:uid="{00000000-000D-0000-FFFF-FFFF00000000}"/>
  </bookViews>
  <sheets>
    <sheet name="البيانات" sheetId="1" r:id="rId1"/>
    <sheet name="analysis" sheetId="5" r:id="rId2"/>
    <sheet name="dashboard" sheetId="6" r:id="rId3"/>
  </sheets>
  <definedNames>
    <definedName name="_xlnm._FilterDatabase" localSheetId="0" hidden="1">البيانات!$A:$T</definedName>
    <definedName name="Slicer_Month">#N/A</definedName>
    <definedName name="Slicer_المحافظه">#N/A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5" l="1"/>
  <c r="O70" i="1"/>
  <c r="O71" i="1"/>
  <c r="O72" i="1"/>
  <c r="O32" i="1"/>
  <c r="O46" i="1"/>
  <c r="O2" i="1"/>
  <c r="O47" i="1"/>
  <c r="O83" i="1"/>
  <c r="O3" i="1"/>
  <c r="O110" i="1"/>
  <c r="O124" i="1"/>
  <c r="O84" i="1"/>
  <c r="O85" i="1"/>
  <c r="O4" i="1"/>
  <c r="O48" i="1"/>
  <c r="O49" i="1"/>
  <c r="O5" i="1"/>
  <c r="O6" i="1"/>
  <c r="O50" i="1"/>
  <c r="O99" i="1"/>
  <c r="O86" i="1"/>
  <c r="O100" i="1"/>
  <c r="O101" i="1"/>
  <c r="O102" i="1"/>
  <c r="O51" i="1"/>
  <c r="O96" i="1"/>
  <c r="O87" i="1"/>
  <c r="O88" i="1"/>
  <c r="O74" i="1"/>
  <c r="O75" i="1"/>
  <c r="O76" i="1"/>
  <c r="O77" i="1"/>
  <c r="O52" i="1"/>
  <c r="O89" i="1"/>
  <c r="O107" i="1"/>
  <c r="O33" i="1"/>
  <c r="O53" i="1"/>
  <c r="O111" i="1"/>
  <c r="O112" i="1"/>
  <c r="O103" i="1"/>
  <c r="O54" i="1"/>
  <c r="O91" i="1"/>
  <c r="O92" i="1"/>
  <c r="O93" i="1"/>
  <c r="O125" i="1"/>
  <c r="O94" i="1"/>
  <c r="O126" i="1"/>
  <c r="O34" i="1"/>
  <c r="O122" i="1"/>
  <c r="O97" i="1"/>
  <c r="O104" i="1"/>
  <c r="O78" i="1"/>
  <c r="O7" i="1"/>
  <c r="O8" i="1"/>
  <c r="O9" i="1"/>
  <c r="O55" i="1"/>
  <c r="O56" i="1"/>
  <c r="O10" i="1"/>
  <c r="O11" i="1"/>
  <c r="O12" i="1"/>
  <c r="O13" i="1"/>
  <c r="O57" i="1"/>
  <c r="O15" i="1"/>
  <c r="O16" i="1"/>
  <c r="O17" i="1"/>
  <c r="O18" i="1"/>
  <c r="O19" i="1"/>
  <c r="O20" i="1"/>
  <c r="O123" i="1"/>
  <c r="O113" i="1"/>
  <c r="O116" i="1"/>
  <c r="O117" i="1"/>
  <c r="O21" i="1"/>
  <c r="O58" i="1"/>
  <c r="O22" i="1"/>
  <c r="O59" i="1"/>
  <c r="O79" i="1"/>
  <c r="O60" i="1"/>
  <c r="O61" i="1"/>
  <c r="O62" i="1"/>
  <c r="O63" i="1"/>
  <c r="O64" i="1"/>
  <c r="O65" i="1"/>
  <c r="O80" i="1"/>
  <c r="O23" i="1"/>
  <c r="O90" i="1"/>
  <c r="O24" i="1"/>
  <c r="O25" i="1"/>
  <c r="O26" i="1"/>
  <c r="O27" i="1"/>
  <c r="O108" i="1"/>
  <c r="O109" i="1"/>
  <c r="O66" i="1"/>
  <c r="O98" i="1"/>
  <c r="O28" i="1"/>
  <c r="O67" i="1"/>
  <c r="O114" i="1"/>
  <c r="O115" i="1"/>
  <c r="O119" i="1"/>
  <c r="O120" i="1"/>
  <c r="O81" i="1"/>
  <c r="O14" i="1"/>
  <c r="O29" i="1"/>
  <c r="O30" i="1"/>
  <c r="O95" i="1"/>
  <c r="O35" i="1"/>
  <c r="O36" i="1"/>
  <c r="O37" i="1"/>
  <c r="O38" i="1"/>
  <c r="O39" i="1"/>
  <c r="O68" i="1"/>
  <c r="O40" i="1"/>
  <c r="O105" i="1"/>
  <c r="O41" i="1"/>
  <c r="O121" i="1"/>
  <c r="O118" i="1"/>
  <c r="O69" i="1"/>
  <c r="O73" i="1"/>
  <c r="O42" i="1"/>
  <c r="O106" i="1"/>
  <c r="O43" i="1"/>
  <c r="O44" i="1"/>
  <c r="O82" i="1"/>
  <c r="O45" i="1"/>
  <c r="O31" i="1"/>
  <c r="R31" i="1"/>
  <c r="R32" i="1"/>
  <c r="R33" i="1"/>
  <c r="R34" i="1"/>
  <c r="Q2" i="1"/>
  <c r="R2" i="1" s="1"/>
  <c r="Q83" i="1"/>
  <c r="R83" i="1" s="1"/>
  <c r="Q3" i="1"/>
  <c r="R3" i="1" s="1"/>
  <c r="Q110" i="1"/>
  <c r="R110" i="1" s="1"/>
  <c r="Q124" i="1"/>
  <c r="R124" i="1" s="1"/>
  <c r="Q84" i="1"/>
  <c r="R84" i="1" s="1"/>
  <c r="Q85" i="1"/>
  <c r="R85" i="1" s="1"/>
  <c r="Q4" i="1"/>
  <c r="R4" i="1" s="1"/>
  <c r="Q5" i="1"/>
  <c r="R5" i="1" s="1"/>
  <c r="Q6" i="1"/>
  <c r="R6" i="1" s="1"/>
  <c r="Q99" i="1"/>
  <c r="R99" i="1" s="1"/>
  <c r="Q86" i="1"/>
  <c r="R86" i="1" s="1"/>
  <c r="Q100" i="1"/>
  <c r="R100" i="1" s="1"/>
  <c r="Q101" i="1"/>
  <c r="R101" i="1" s="1"/>
  <c r="Q102" i="1"/>
  <c r="R102" i="1" s="1"/>
  <c r="Q96" i="1"/>
  <c r="R96" i="1" s="1"/>
  <c r="Q87" i="1"/>
  <c r="R87" i="1" s="1"/>
  <c r="Q88" i="1"/>
  <c r="R88" i="1" s="1"/>
  <c r="Q74" i="1"/>
  <c r="R74" i="1" s="1"/>
  <c r="Q75" i="1"/>
  <c r="R75" i="1" s="1"/>
  <c r="Q76" i="1"/>
  <c r="R76" i="1" s="1"/>
  <c r="Q77" i="1"/>
  <c r="R77" i="1" s="1"/>
  <c r="Q89" i="1"/>
  <c r="R89" i="1" s="1"/>
  <c r="Q107" i="1"/>
  <c r="R107" i="1" s="1"/>
  <c r="Q111" i="1"/>
  <c r="R111" i="1" s="1"/>
  <c r="Q112" i="1"/>
  <c r="R112" i="1" s="1"/>
  <c r="Q103" i="1"/>
  <c r="R103" i="1" s="1"/>
  <c r="Q91" i="1"/>
  <c r="R91" i="1" s="1"/>
  <c r="Q92" i="1"/>
  <c r="R92" i="1" s="1"/>
  <c r="Q93" i="1"/>
  <c r="R93" i="1" s="1"/>
  <c r="Q125" i="1"/>
  <c r="R125" i="1" s="1"/>
  <c r="Q94" i="1"/>
  <c r="R94" i="1" s="1"/>
  <c r="Q126" i="1"/>
  <c r="R126" i="1" s="1"/>
  <c r="Q122" i="1"/>
  <c r="R122" i="1" s="1"/>
  <c r="Q97" i="1"/>
  <c r="R97" i="1" s="1"/>
  <c r="Q104" i="1"/>
  <c r="R104" i="1" s="1"/>
  <c r="Q78" i="1"/>
  <c r="R78" i="1" s="1"/>
  <c r="Q7" i="1"/>
  <c r="R7" i="1" s="1"/>
  <c r="Q8" i="1"/>
  <c r="R8" i="1" s="1"/>
  <c r="Q9" i="1"/>
  <c r="R9" i="1" s="1"/>
  <c r="Q10" i="1"/>
  <c r="R10" i="1" s="1"/>
  <c r="Q11" i="1"/>
  <c r="R11" i="1" s="1"/>
  <c r="Q12" i="1"/>
  <c r="R12" i="1" s="1"/>
  <c r="Q13" i="1"/>
  <c r="R13" i="1" s="1"/>
  <c r="Q15" i="1"/>
  <c r="R15" i="1" s="1"/>
  <c r="Q16" i="1"/>
  <c r="R16" i="1" s="1"/>
  <c r="Q17" i="1"/>
  <c r="R17" i="1" s="1"/>
  <c r="Q18" i="1"/>
  <c r="R18" i="1" s="1"/>
  <c r="Q19" i="1"/>
  <c r="R19" i="1" s="1"/>
  <c r="Q20" i="1"/>
  <c r="R20" i="1" s="1"/>
  <c r="Q123" i="1"/>
  <c r="R123" i="1" s="1"/>
  <c r="Q113" i="1"/>
  <c r="R113" i="1" s="1"/>
  <c r="Q116" i="1"/>
  <c r="R116" i="1" s="1"/>
  <c r="Q117" i="1"/>
  <c r="R117" i="1" s="1"/>
  <c r="Q21" i="1"/>
  <c r="R21" i="1" s="1"/>
  <c r="Q22" i="1"/>
  <c r="R22" i="1" s="1"/>
  <c r="Q79" i="1"/>
  <c r="R79" i="1" s="1"/>
  <c r="Q60" i="1"/>
  <c r="R60" i="1" s="1"/>
  <c r="Q61" i="1"/>
  <c r="R61" i="1" s="1"/>
  <c r="Q62" i="1"/>
  <c r="R62" i="1" s="1"/>
  <c r="Q63" i="1"/>
  <c r="R63" i="1" s="1"/>
  <c r="Q64" i="1"/>
  <c r="R64" i="1" s="1"/>
  <c r="Q80" i="1"/>
  <c r="R80" i="1" s="1"/>
  <c r="Q23" i="1"/>
  <c r="R23" i="1" s="1"/>
  <c r="Q90" i="1"/>
  <c r="R90" i="1" s="1"/>
  <c r="Q24" i="1"/>
  <c r="R24" i="1" s="1"/>
  <c r="Q25" i="1"/>
  <c r="R25" i="1" s="1"/>
  <c r="Q26" i="1"/>
  <c r="R26" i="1" s="1"/>
  <c r="Q27" i="1"/>
  <c r="R27" i="1" s="1"/>
  <c r="Q108" i="1"/>
  <c r="R108" i="1" s="1"/>
  <c r="Q109" i="1"/>
  <c r="R109" i="1" s="1"/>
  <c r="Q98" i="1"/>
  <c r="R98" i="1" s="1"/>
  <c r="Q28" i="1"/>
  <c r="R28" i="1" s="1"/>
  <c r="Q114" i="1"/>
  <c r="R114" i="1" s="1"/>
  <c r="Q115" i="1"/>
  <c r="R115" i="1" s="1"/>
  <c r="Q119" i="1"/>
  <c r="R119" i="1" s="1"/>
  <c r="Q120" i="1"/>
  <c r="R120" i="1" s="1"/>
  <c r="Q81" i="1"/>
  <c r="R81" i="1" s="1"/>
  <c r="Q14" i="1"/>
  <c r="R14" i="1" s="1"/>
  <c r="Q29" i="1"/>
  <c r="R29" i="1" s="1"/>
  <c r="Q30" i="1"/>
  <c r="R30" i="1" s="1"/>
  <c r="Q95" i="1"/>
  <c r="R95" i="1" s="1"/>
  <c r="Q35" i="1"/>
  <c r="R35" i="1" s="1"/>
  <c r="Q36" i="1"/>
  <c r="R36" i="1" s="1"/>
  <c r="Q37" i="1"/>
  <c r="R37" i="1" s="1"/>
  <c r="Q38" i="1"/>
  <c r="R38" i="1" s="1"/>
  <c r="Q39" i="1"/>
  <c r="R39" i="1" s="1"/>
  <c r="Q40" i="1"/>
  <c r="R40" i="1" s="1"/>
  <c r="Q105" i="1"/>
  <c r="R105" i="1" s="1"/>
  <c r="Q41" i="1"/>
  <c r="R41" i="1" s="1"/>
  <c r="Q121" i="1"/>
  <c r="R121" i="1" s="1"/>
  <c r="Q118" i="1"/>
  <c r="R118" i="1" s="1"/>
  <c r="Q42" i="1"/>
  <c r="R42" i="1" s="1"/>
  <c r="Q106" i="1"/>
  <c r="R106" i="1" s="1"/>
  <c r="Q43" i="1"/>
  <c r="R43" i="1" s="1"/>
  <c r="Q44" i="1"/>
  <c r="R44" i="1" s="1"/>
  <c r="Q82" i="1"/>
  <c r="R82" i="1" s="1"/>
  <c r="Q45" i="1"/>
  <c r="R45" i="1" s="1"/>
  <c r="C4" i="5"/>
  <c r="C11" i="5"/>
  <c r="C116" i="5"/>
  <c r="C1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65A1DC-E1AE-4951-A6C3-2091BFD08FC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A9B63AC4-7E07-4E63-853D-F0C5E14DB10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<sst xmlns="http://schemas.openxmlformats.org/spreadsheetml/2006/main" count="1866" uniqueCount="230">
  <si>
    <t>أسم العميل</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</si>
  <si>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</si>
  <si>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</si>
  <si>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</si>
  <si>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</si>
  <si>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</si>
  <si>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</si>
  <si>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</si>
  <si>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</si>
  <si>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</si>
  <si>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مسبق الدفع</t>
  </si>
  <si>
    <t>محمود</t>
  </si>
  <si>
    <t>سعيد</t>
  </si>
  <si>
    <t>ساندرا</t>
  </si>
  <si>
    <t xml:space="preserve">الغردقه </t>
  </si>
  <si>
    <t xml:space="preserve">زينا </t>
  </si>
  <si>
    <t xml:space="preserve">شيك هومز </t>
  </si>
  <si>
    <t xml:space="preserve">احمد </t>
  </si>
  <si>
    <t>التجمع الخامس</t>
  </si>
  <si>
    <t>yilmaz</t>
  </si>
  <si>
    <t>العباسيه</t>
  </si>
  <si>
    <t>تاكى</t>
  </si>
  <si>
    <t xml:space="preserve">على رشوان </t>
  </si>
  <si>
    <t>مصر الجديده</t>
  </si>
  <si>
    <t>شيك هومز</t>
  </si>
  <si>
    <t xml:space="preserve">فيصل نعيم </t>
  </si>
  <si>
    <t xml:space="preserve">اوسكار ريتن </t>
  </si>
  <si>
    <t>ellho elkafy</t>
  </si>
  <si>
    <t xml:space="preserve">لينا </t>
  </si>
  <si>
    <t xml:space="preserve">احمد فخرى </t>
  </si>
  <si>
    <t>حسن حازم</t>
  </si>
  <si>
    <t xml:space="preserve">رنا </t>
  </si>
  <si>
    <t xml:space="preserve">على السيد </t>
  </si>
  <si>
    <t xml:space="preserve">هشام بسيونى </t>
  </si>
  <si>
    <t>عبير نور الدين</t>
  </si>
  <si>
    <t>اوسكار راتن</t>
  </si>
  <si>
    <t>حساب شركه</t>
  </si>
  <si>
    <t>الشروق</t>
  </si>
  <si>
    <t xml:space="preserve">ساره وجيه </t>
  </si>
  <si>
    <t xml:space="preserve">مها </t>
  </si>
  <si>
    <t xml:space="preserve">اسراء ابو العنين </t>
  </si>
  <si>
    <t xml:space="preserve">بسام الشربينى </t>
  </si>
  <si>
    <t>وائل صادق</t>
  </si>
  <si>
    <t xml:space="preserve">هبه عبد الفتاح </t>
  </si>
  <si>
    <t xml:space="preserve">حاتم العيسوي </t>
  </si>
  <si>
    <t>صفاء</t>
  </si>
  <si>
    <t>المعادى</t>
  </si>
  <si>
    <t xml:space="preserve">اسراء ابراهيم </t>
  </si>
  <si>
    <t xml:space="preserve">طارق كمال </t>
  </si>
  <si>
    <t xml:space="preserve">مصطفي غنيم </t>
  </si>
  <si>
    <t xml:space="preserve">اسيوط </t>
  </si>
  <si>
    <t>حسام عبدون</t>
  </si>
  <si>
    <t>الغردقه</t>
  </si>
  <si>
    <t xml:space="preserve">اياد </t>
  </si>
  <si>
    <t>ميار خورشد</t>
  </si>
  <si>
    <t xml:space="preserve">عبد الله سيد </t>
  </si>
  <si>
    <t xml:space="preserve">كينج سونا </t>
  </si>
  <si>
    <t xml:space="preserve">رامى </t>
  </si>
  <si>
    <t xml:space="preserve">احمد خالد </t>
  </si>
  <si>
    <t>الرحاب</t>
  </si>
  <si>
    <t>ساره</t>
  </si>
  <si>
    <t>رحاب</t>
  </si>
  <si>
    <t xml:space="preserve">احمد ايمن </t>
  </si>
  <si>
    <t>العبور</t>
  </si>
  <si>
    <t xml:space="preserve">فؤاد المنسي </t>
  </si>
  <si>
    <t xml:space="preserve">ديفد بهجت </t>
  </si>
  <si>
    <t xml:space="preserve">حسن مغرب </t>
  </si>
  <si>
    <t>صفاء الحكيم</t>
  </si>
  <si>
    <t>العين السخنه</t>
  </si>
  <si>
    <t>يوسف شناوى</t>
  </si>
  <si>
    <t>سرير</t>
  </si>
  <si>
    <t>منطبق</t>
  </si>
  <si>
    <t>نوفال</t>
  </si>
  <si>
    <t>فردى</t>
  </si>
  <si>
    <t>كينج</t>
  </si>
  <si>
    <t>اسبانى</t>
  </si>
  <si>
    <t>ركنة</t>
  </si>
  <si>
    <t>سحارة</t>
  </si>
  <si>
    <t>ركنة بسرير</t>
  </si>
  <si>
    <t>كرسى</t>
  </si>
  <si>
    <t>دورين</t>
  </si>
  <si>
    <t>ابيض</t>
  </si>
  <si>
    <t>اسود</t>
  </si>
  <si>
    <t>ارفيل</t>
  </si>
  <si>
    <t>ازرق</t>
  </si>
  <si>
    <t>ثلاثه ادوار</t>
  </si>
  <si>
    <t>رمادى</t>
  </si>
  <si>
    <t>بنفسجى</t>
  </si>
  <si>
    <t>دهبي</t>
  </si>
  <si>
    <t>فورجينا</t>
  </si>
  <si>
    <t>اللون المعدن</t>
  </si>
  <si>
    <t>لون القماش</t>
  </si>
  <si>
    <t>mohannad</t>
  </si>
  <si>
    <t>Mohamed Ayman</t>
  </si>
  <si>
    <t>2 ميكانزم</t>
  </si>
  <si>
    <t>بمكتبة</t>
  </si>
  <si>
    <t>رف سحاب</t>
  </si>
  <si>
    <t>الحالة</t>
  </si>
  <si>
    <t>فشل التسليم</t>
  </si>
  <si>
    <t>اسامه</t>
  </si>
  <si>
    <t>تم التسليم</t>
  </si>
  <si>
    <t>اسود وبنى</t>
  </si>
  <si>
    <t>ولاء بدوى</t>
  </si>
  <si>
    <t>عبد الرحمن يسري</t>
  </si>
  <si>
    <t>كنبه</t>
  </si>
  <si>
    <t>مرتجع</t>
  </si>
  <si>
    <t>الحج محمد السويس</t>
  </si>
  <si>
    <t>السويس</t>
  </si>
  <si>
    <t>فانتاستك</t>
  </si>
  <si>
    <t>فنيسيا</t>
  </si>
  <si>
    <t>رصاصي مشجر</t>
  </si>
  <si>
    <t>بيج</t>
  </si>
  <si>
    <t>شيزلونج</t>
  </si>
  <si>
    <t xml:space="preserve">نبيتى </t>
  </si>
  <si>
    <t>عمرو الأسود</t>
  </si>
  <si>
    <t>الزمالك</t>
  </si>
  <si>
    <t xml:space="preserve">بترولى </t>
  </si>
  <si>
    <t>keira</t>
  </si>
  <si>
    <t>بينك</t>
  </si>
  <si>
    <t>tarek</t>
  </si>
  <si>
    <t>reem</t>
  </si>
  <si>
    <t>هشام سامى</t>
  </si>
  <si>
    <t>خشب بنى فاتح</t>
  </si>
  <si>
    <t>الوان</t>
  </si>
  <si>
    <t xml:space="preserve">اقرب وقت </t>
  </si>
  <si>
    <t>فاطمه محمد</t>
  </si>
  <si>
    <t>بولا هومزمارت</t>
  </si>
  <si>
    <t xml:space="preserve">محمد شكرى </t>
  </si>
  <si>
    <t>ارينا</t>
  </si>
  <si>
    <t>بترولى</t>
  </si>
  <si>
    <t>منزلى</t>
  </si>
  <si>
    <t>مدينتى</t>
  </si>
  <si>
    <t>حماده</t>
  </si>
  <si>
    <t>صفاء عبد الباقي</t>
  </si>
  <si>
    <t xml:space="preserve">دورين </t>
  </si>
  <si>
    <t xml:space="preserve">رندا العامرى </t>
  </si>
  <si>
    <t xml:space="preserve">فردى </t>
  </si>
  <si>
    <t>امريكى</t>
  </si>
  <si>
    <t>محمد حمدى</t>
  </si>
  <si>
    <t>فيسبوك</t>
  </si>
  <si>
    <t xml:space="preserve">بافلى هانى </t>
  </si>
  <si>
    <t>رنا ميلاد</t>
  </si>
  <si>
    <t>ترابيزه</t>
  </si>
  <si>
    <t>محمد ناجى</t>
  </si>
  <si>
    <t xml:space="preserve">دوران </t>
  </si>
  <si>
    <t>ابيض في بنى غامق</t>
  </si>
  <si>
    <t>احمد عبد الستار</t>
  </si>
  <si>
    <t>بنى غامق</t>
  </si>
  <si>
    <t>نور</t>
  </si>
  <si>
    <t xml:space="preserve">بنى غامق </t>
  </si>
  <si>
    <t>تامر</t>
  </si>
  <si>
    <t xml:space="preserve">بيج </t>
  </si>
  <si>
    <t>هناء اسامه</t>
  </si>
  <si>
    <t>القطاميه</t>
  </si>
  <si>
    <t xml:space="preserve">محمد عادل </t>
  </si>
  <si>
    <t>مريم عنان</t>
  </si>
  <si>
    <t xml:space="preserve">هبه عطيه </t>
  </si>
  <si>
    <t>دوران</t>
  </si>
  <si>
    <t>حمدى ذكرى</t>
  </si>
  <si>
    <t>روك ١٠</t>
  </si>
  <si>
    <t>نوع المنتج</t>
  </si>
  <si>
    <t>تفاصيل المنتج</t>
  </si>
  <si>
    <t>Row Labels</t>
  </si>
  <si>
    <t>Grand Total</t>
  </si>
  <si>
    <t>Column Labels</t>
  </si>
  <si>
    <t>اسم البراند</t>
  </si>
  <si>
    <t>4x1</t>
  </si>
  <si>
    <t>مدينه بدر</t>
  </si>
  <si>
    <t>العجوزه</t>
  </si>
  <si>
    <t>الجيزه</t>
  </si>
  <si>
    <t>سموحه</t>
  </si>
  <si>
    <t>اسكندريه</t>
  </si>
  <si>
    <t xml:space="preserve"> اكتوبر </t>
  </si>
  <si>
    <t>القاهره</t>
  </si>
  <si>
    <t>المقطم</t>
  </si>
  <si>
    <t>مدينه نصر</t>
  </si>
  <si>
    <t>القناطر</t>
  </si>
  <si>
    <t>الابراهيميه</t>
  </si>
  <si>
    <t xml:space="preserve"> بولاق</t>
  </si>
  <si>
    <t>حدايق الاهرام</t>
  </si>
  <si>
    <t>فيصل</t>
  </si>
  <si>
    <t>الشيخ زايد</t>
  </si>
  <si>
    <t xml:space="preserve"> اسيوط</t>
  </si>
  <si>
    <t>البطاش</t>
  </si>
  <si>
    <t>شبرا</t>
  </si>
  <si>
    <t>جليم</t>
  </si>
  <si>
    <t>المندره</t>
  </si>
  <si>
    <t>المحافظه</t>
  </si>
  <si>
    <t>المدينه</t>
  </si>
  <si>
    <t>سيدى عبد الرحمن</t>
  </si>
  <si>
    <t>غير محدد</t>
  </si>
  <si>
    <t xml:space="preserve">شركه شحن </t>
  </si>
  <si>
    <t xml:space="preserve">محمود على </t>
  </si>
  <si>
    <t xml:space="preserve">معرفه الحج سيد </t>
  </si>
  <si>
    <t xml:space="preserve">م محمد </t>
  </si>
  <si>
    <t>Count of أسم العميل</t>
  </si>
  <si>
    <t>مده التوصيل</t>
  </si>
  <si>
    <t>Total Sales</t>
  </si>
  <si>
    <t xml:space="preserve">Sum of سعر البيع </t>
  </si>
  <si>
    <t>Total Orders</t>
  </si>
  <si>
    <t>Avg Selling Price</t>
  </si>
  <si>
    <t xml:space="preserve">Average of سعر البيع </t>
  </si>
  <si>
    <t>Number of Individuals and Companies</t>
  </si>
  <si>
    <t>On Time Delivey Rate</t>
  </si>
  <si>
    <t>on time delivery</t>
  </si>
  <si>
    <t>no</t>
  </si>
  <si>
    <t>yes</t>
  </si>
  <si>
    <t>Count of on time delivery</t>
  </si>
  <si>
    <t>Orders By Area</t>
  </si>
  <si>
    <t>Count of المدينه</t>
  </si>
  <si>
    <t>Best Seller</t>
  </si>
  <si>
    <t>Count of نوع المنتج</t>
  </si>
  <si>
    <t>Sales By Platform</t>
  </si>
  <si>
    <t>canceld orders rate</t>
  </si>
  <si>
    <t>Count of الحالة</t>
  </si>
  <si>
    <t>Best Color Sold</t>
  </si>
  <si>
    <t>not deliverd</t>
  </si>
  <si>
    <t>Count of اللون المعدن</t>
  </si>
  <si>
    <t>Month</t>
  </si>
  <si>
    <t>الساحل</t>
  </si>
  <si>
    <t>نوع العميل</t>
  </si>
  <si>
    <t>فرد</t>
  </si>
  <si>
    <t>Jul</t>
  </si>
  <si>
    <t>Oct</t>
  </si>
  <si>
    <t>Aug</t>
  </si>
  <si>
    <t>شركه</t>
  </si>
  <si>
    <t>Sep</t>
  </si>
  <si>
    <t>Dec</t>
  </si>
  <si>
    <t>Nov</t>
  </si>
  <si>
    <t>كاش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</si>
</sst>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9" x14ac:knownFonts="1">
    <font>
      <sz val="11"/>
      <color theme="1"/>
      <name val="Calibri"/>
      <family val="2"/>
      <scheme val="minor"/>
    </font>
    <font>
      <sz val="11"/>
      <name val="Calibri"/>
      <family val="2"/>
      <scheme val="minor"/>
    </font>
    <font>
      <b/>
      <sz val="14"/>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sz val="12"/>
      <name val="Calibri"/>
      <family val="2"/>
      <scheme val="minor"/>
    </font>
    <font>
      <sz val="22"/>
      <color theme="1"/>
      <name val="Calibri"/>
      <family val="2"/>
      <scheme val="minor"/>
    </font>
    <font>
      <sz val="11"/>
      <color theme="2" tint="-0.249977111117893"/>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C6C4D3"/>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1">
    <xf numFmtId="0" fontId="0" fillId="0" borderId="0" xfId="0"/>
    <xf numFmtId="0" fontId="0" fillId="0" borderId="0" xfId="0" applyAlignment="1">
      <alignment horizontal="right" vertical="center"/>
    </xf>
    <xf numFmtId="0" fontId="0" fillId="0" borderId="0" xfId="0" pivotButton="1"/>
    <xf numFmtId="0" fontId="0" fillId="0" borderId="0" xfId="0" applyAlignment="1">
      <alignment horizontal="left"/>
    </xf>
    <xf numFmtId="0" fontId="4" fillId="0" borderId="0" xfId="0" applyFont="1" applyAlignment="1">
      <alignment horizontal="right" vertical="center"/>
    </xf>
    <xf numFmtId="49" fontId="4" fillId="0" borderId="0" xfId="0" applyNumberFormat="1" applyFont="1" applyAlignment="1">
      <alignment horizontal="right" vertical="center"/>
    </xf>
    <xf numFmtId="14" fontId="4" fillId="0" borderId="0" xfId="0" applyNumberFormat="1" applyFont="1" applyAlignment="1">
      <alignment horizontal="right" vertical="center"/>
    </xf>
    <xf numFmtId="0" fontId="4" fillId="0" borderId="0" xfId="0" applyFont="1" applyAlignment="1">
      <alignment horizontal="center" vertical="center"/>
    </xf>
    <xf numFmtId="1" fontId="4" fillId="0" borderId="0" xfId="0" applyNumberFormat="1" applyFont="1" applyAlignment="1">
      <alignment horizontal="right" vertical="center"/>
    </xf>
    <xf numFmtId="164" fontId="0" fillId="0" borderId="0" xfId="1" applyNumberFormat="1" applyFont="1" applyFill="1" applyBorder="1" applyAlignment="1">
      <alignment horizontal="right" vertical="center"/>
    </xf>
    <xf numFmtId="164" fontId="0" fillId="0" borderId="0" xfId="0" applyNumberFormat="1"/>
    <xf numFmtId="0" fontId="0" fillId="2" borderId="0" xfId="0" applyFill="1"/>
    <xf numFmtId="164" fontId="0" fillId="0" borderId="0" xfId="0" applyNumberFormat="1" applyAlignment="1">
      <alignment horizontal="center"/>
    </xf>
    <xf numFmtId="10" fontId="0" fillId="0" borderId="0" xfId="0" applyNumberFormat="1"/>
    <xf numFmtId="10" fontId="0" fillId="0" borderId="0" xfId="0" applyNumberFormat="1" applyAlignment="1">
      <alignment horizontal="center"/>
    </xf>
    <xf numFmtId="164" fontId="4" fillId="0" borderId="0" xfId="1" applyNumberFormat="1" applyFont="1" applyFill="1" applyBorder="1" applyAlignment="1">
      <alignment horizontal="right" vertical="center"/>
    </xf>
    <xf numFmtId="0" fontId="0" fillId="3" borderId="0" xfId="0" applyFill="1"/>
    <xf numFmtId="9" fontId="0" fillId="0" borderId="0" xfId="0" applyNumberFormat="1" applyAlignment="1">
      <alignment horizontal="center"/>
    </xf>
    <xf numFmtId="9" fontId="0" fillId="0" borderId="0" xfId="2" applyFont="1"/>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164" fontId="2" fillId="0" borderId="5" xfId="1" applyNumberFormat="1" applyFont="1" applyFill="1" applyBorder="1" applyAlignment="1">
      <alignment horizontal="center" vertical="center"/>
    </xf>
    <xf numFmtId="14" fontId="2" fillId="0" borderId="5" xfId="0" applyNumberFormat="1" applyFont="1" applyBorder="1" applyAlignment="1">
      <alignment horizontal="center" vertical="center"/>
    </xf>
    <xf numFmtId="1" fontId="2" fillId="0" borderId="5" xfId="0" applyNumberFormat="1"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4" fillId="0" borderId="1" xfId="0" applyFont="1" applyBorder="1" applyAlignment="1">
      <alignment horizontal="right" vertical="center"/>
    </xf>
    <xf numFmtId="0" fontId="0" fillId="0" borderId="1" xfId="0" applyBorder="1" applyAlignment="1">
      <alignment horizontal="right"/>
    </xf>
    <xf numFmtId="0" fontId="4" fillId="0" borderId="1" xfId="0" applyFont="1" applyBorder="1" applyAlignment="1">
      <alignment horizontal="right"/>
    </xf>
    <xf numFmtId="49" fontId="4" fillId="0" borderId="1" xfId="0" applyNumberFormat="1" applyFont="1" applyBorder="1" applyAlignment="1">
      <alignment horizontal="right"/>
    </xf>
    <xf numFmtId="164" fontId="4" fillId="0" borderId="1" xfId="1" applyNumberFormat="1" applyFont="1" applyFill="1" applyBorder="1" applyAlignment="1">
      <alignment horizontal="right"/>
    </xf>
    <xf numFmtId="14" fontId="4" fillId="0" borderId="1" xfId="0" applyNumberFormat="1" applyFont="1" applyBorder="1" applyAlignment="1">
      <alignment horizontal="right"/>
    </xf>
    <xf numFmtId="1" fontId="4" fillId="0" borderId="1" xfId="0" applyNumberFormat="1" applyFont="1" applyBorder="1" applyAlignment="1">
      <alignment horizontal="right"/>
    </xf>
    <xf numFmtId="0" fontId="1" fillId="0" borderId="1" xfId="0" applyFont="1" applyBorder="1" applyAlignment="1">
      <alignment horizontal="right"/>
    </xf>
    <xf numFmtId="0" fontId="6" fillId="0" borderId="1" xfId="0" applyFont="1" applyBorder="1" applyAlignment="1">
      <alignment horizontal="right"/>
    </xf>
    <xf numFmtId="0" fontId="2" fillId="0" borderId="3" xfId="0" applyFont="1" applyBorder="1" applyAlignment="1">
      <alignment horizontal="center" vertical="center"/>
    </xf>
    <xf numFmtId="0" fontId="4" fillId="0" borderId="2" xfId="0" applyFont="1" applyBorder="1" applyAlignment="1">
      <alignment horizontal="right" vertical="center"/>
    </xf>
    <xf numFmtId="0" fontId="7" fillId="0" borderId="0" xfId="0" applyFont="1" applyAlignment="1">
      <alignment horizontal="center"/>
    </xf>
    <xf numFmtId="0" fontId="7" fillId="0" borderId="0" xfId="0" applyFont="1" applyAlignment="1">
      <alignment horizontal="center" vertical="center" wrapText="1"/>
    </xf>
    <xf numFmtId="0" fontId="0" fillId="0" borderId="0" xfId="0" applyNumberFormat="1"/>
    <xf numFmtId="0" fontId="8" fillId="4" borderId="0" xfId="0" applyFont="1" applyFill="1"/>
  </cellXfs>
  <cellStyles count="3">
    <cellStyle name="Comma" xfId="1" builtinId="3"/>
    <cellStyle name="Normal" xfId="0" builtinId="0"/>
    <cellStyle name="Percent" xfId="2" builtinId="5"/>
  </cellStyles>
  <dxfs count="42">
    <dxf>
      <numFmt numFmtId="164" formatCode="_(* #,##0_);_(* \(#,##0\);_(* &quot;-&quot;??_);_(@_)"/>
    </dxf>
    <dxf>
      <numFmt numFmtId="13" formatCode="0%"/>
    </dxf>
    <dxf>
      <numFmt numFmtId="14" formatCode="0.00%"/>
    </dxf>
    <dxf>
      <alignment horizontal="center"/>
    </dxf>
    <dxf>
      <numFmt numFmtId="164" formatCode="_(* #,##0_);_(* \(#,##0\);_(* &quot;-&quot;??_);_(@_)"/>
    </dxf>
    <dxf>
      <numFmt numFmtId="164" formatCode="_(* #,##0_);_(* \(#,##0\);_(* &quot;-&quot;??_);_(@_)"/>
    </dxf>
    <dxf>
      <alignment horizontal="center"/>
    </dxf>
    <dxf>
      <numFmt numFmtId="164" formatCode="_(* #,##0_);_(* \(#,##0\);_(* &quot;-&quot;??_);_(@_)"/>
    </dxf>
    <dxf>
      <alignment horizontal="center"/>
    </dxf>
    <dxf>
      <numFmt numFmtId="164" formatCode="_(* #,##0_);_(* \(#,##0\);_(* &quot;-&quot;??_);_(@_)"/>
    </dxf>
    <dxf>
      <numFmt numFmtId="164" formatCode="_(* #,##0_);_(* \(#,##0\);_(* &quot;-&quot;??_);_(@_)"/>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30" formatCode="@"/>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164" formatCode="_(* #,##0_);_(* \(#,##0\);_(* &quot;-&quot;??_);_(@_)"/>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z val="12"/>
        <color theme="0"/>
        <name val="Calibri"/>
        <family val="2"/>
        <scheme val="minor"/>
      </font>
      <border>
        <left style="thin">
          <color auto="1"/>
        </left>
        <right style="thin">
          <color auto="1"/>
        </right>
        <top style="thin">
          <color auto="1"/>
        </top>
        <bottom style="thin">
          <color auto="1"/>
        </bottom>
      </border>
    </dxf>
    <dxf>
      <fill>
        <patternFill>
          <bgColor rgb="FF140E3D"/>
        </patternFill>
      </fill>
    </dxf>
    <dxf>
      <font>
        <b/>
        <i val="0"/>
        <sz val="12"/>
        <name val="Calibri"/>
        <family val="2"/>
        <scheme val="minor"/>
      </font>
    </dxf>
    <dxf>
      <border diagonalUp="0" diagonalDown="0">
        <left style="medium">
          <color auto="1"/>
        </left>
        <right style="medium">
          <color auto="1"/>
        </right>
        <top style="medium">
          <color auto="1"/>
        </top>
        <bottom style="medium">
          <color auto="1"/>
        </bottom>
        <vertical/>
        <horizontal/>
      </border>
    </dxf>
    <dxf>
      <font>
        <b/>
        <i val="0"/>
        <strike val="0"/>
        <sz val="12"/>
        <name val="Calibri"/>
        <family val="2"/>
        <scheme val="minor"/>
      </font>
      <fill>
        <patternFill patternType="none">
          <bgColor auto="1"/>
        </patternFill>
      </fill>
    </dxf>
    <dxf>
      <fill>
        <patternFill patternType="none">
          <bgColor auto="1"/>
        </patternFill>
      </fill>
    </dxf>
    <dxf>
      <fill>
        <patternFill>
          <bgColor rgb="FFFF0000"/>
        </patternFill>
      </fill>
    </dxf>
  </dxfs>
  <tableStyles count="7" defaultTableStyle="TableStyleMedium2" defaultPivotStyle="PivotStyleLight16">
    <tableStyle name="Invisible" pivot="0" table="0" count="0" xr9:uid="{AA73528B-8D85-432A-9172-AA70B5E8C669}"/>
    <tableStyle name="Slicer Style 1" pivot="0" table="0" count="1" xr9:uid="{A813DBDE-475B-49FE-9ED6-1AA592D12A54}">
      <tableStyleElement type="headerRow" dxfId="41"/>
    </tableStyle>
    <tableStyle name="Slicer Style 2" pivot="0" table="0" count="2" xr9:uid="{E7339D45-73FA-45BF-A9CD-A27044471B8A}">
      <tableStyleElement type="wholeTable" dxfId="40"/>
      <tableStyleElement type="headerRow" dxfId="39"/>
    </tableStyle>
    <tableStyle name="Slicer Style 3" pivot="0" table="0" count="2" xr9:uid="{7405A439-48E6-49DF-9996-98D20A54F08B}">
      <tableStyleElement type="wholeTable" dxfId="38"/>
    </tableStyle>
    <tableStyle name="Slicer Style 4" pivot="0" table="0" count="1" xr9:uid="{398E6A71-AF62-4B92-85CB-DDF6A919E0A0}">
      <tableStyleElement type="headerRow" dxfId="37"/>
    </tableStyle>
    <tableStyle name="Slicer Style 5" pivot="0" table="0" count="9" xr9:uid="{C621D07F-7DFE-4C2A-A62C-2992D7BBB4DA}">
      <tableStyleElement type="wholeTable" dxfId="36"/>
      <tableStyleElement type="headerRow" dxfId="35"/>
    </tableStyle>
    <tableStyle name="Slicer Style 6" pivot="0" table="0" count="1" xr9:uid="{5B9E19B5-404D-408C-A2FA-F2FD80773F85}"/>
  </tableStyles>
  <colors>
    <mruColors>
      <color rgb="FF70AD47"/>
      <color rgb="FFC6C4D3"/>
      <color rgb="FF800000"/>
      <color rgb="FFFF6699"/>
      <color rgb="FF140E3D"/>
      <color rgb="FFCC1F29"/>
      <color rgb="FF8E1A1B"/>
      <color rgb="FFFA0000"/>
      <color rgb="FFFF0000"/>
    </mruColors>
  </colors>
  <extLst>
    <ext xmlns:x14="http://schemas.microsoft.com/office/spreadsheetml/2009/9/main" uri="{46F421CA-312F-682f-3DD2-61675219B42D}">
      <x14:dxfs count="9">
        <dxf>
          <fill>
            <patternFill>
              <bgColor rgb="FFFF0000"/>
            </patternFill>
          </fill>
        </dxf>
        <dxf>
          <font>
            <color rgb="FF140E3D"/>
          </font>
          <fill>
            <patternFill>
              <bgColor rgb="FF140E3D"/>
            </patternFill>
          </fill>
        </dxf>
        <dxf>
          <font>
            <color theme="0"/>
          </font>
          <fill>
            <patternFill>
              <bgColor rgb="FF8E1A1B"/>
            </patternFill>
          </fill>
        </dxf>
        <dxf>
          <fill>
            <patternFill>
              <bgColor rgb="FFC00000"/>
            </patternFill>
          </fill>
        </dxf>
        <dxf>
          <font>
            <color rgb="FF140E3D"/>
          </font>
          <fill>
            <patternFill>
              <bgColor rgb="FF140E3D"/>
            </patternFill>
          </fill>
        </dxf>
        <dxf>
          <font>
            <b/>
            <i val="0"/>
            <sz val="12"/>
            <color theme="0"/>
            <name val="Calibri"/>
            <family val="2"/>
            <scheme val="minor"/>
          </font>
          <fill>
            <patternFill>
              <bgColor rgb="FFCC1F29"/>
            </patternFill>
          </fill>
        </dxf>
        <dxf>
          <font>
            <color rgb="FF140E3D"/>
          </font>
        </dxf>
        <dxf>
          <font>
            <b val="0"/>
            <i val="0"/>
            <sz val="12"/>
            <color theme="0"/>
            <name val="Calibri"/>
            <family val="2"/>
            <scheme val="minor"/>
          </font>
          <fill>
            <patternFill>
              <bgColor rgb="FFCC1F29"/>
            </patternFill>
          </fill>
        </dxf>
        <dxf>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SelectedItemWithData" dxfId="8"/>
          </x14:slicerStyleElements>
        </x14:slicerStyle>
        <x14:slicerStyle name="Slicer Style 4"/>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Slicer Style 6">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2777777777777805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analysis!$H$3:$H$4</c:f>
              <c:strCache>
                <c:ptCount val="1"/>
                <c:pt idx="0">
                  <c:v>تم التسليم</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5E5-4963-99C2-AE30651A38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5E5-4963-99C2-AE30651A383C}"/>
              </c:ext>
            </c:extLst>
          </c:dPt>
          <c:dLbls>
            <c:dLbl>
              <c:idx val="0"/>
              <c:layout>
                <c:manualLayout>
                  <c:x val="-9.4444444444444442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E5-4963-99C2-AE30651A383C}"/>
                </c:ext>
              </c:extLst>
            </c:dLbl>
            <c:dLbl>
              <c:idx val="1"/>
              <c:layout>
                <c:manualLayout>
                  <c:x val="-5.2777777777777805E-2"/>
                  <c:y val="-0.15277777777777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5E5-4963-99C2-AE30651A38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analysis!$G$5:$G$7</c:f>
              <c:strCache>
                <c:ptCount val="2"/>
                <c:pt idx="0">
                  <c:v>no</c:v>
                </c:pt>
                <c:pt idx="1">
                  <c:v>yes</c:v>
                </c:pt>
              </c:strCache>
            </c:strRef>
          </c:cat>
          <c:val>
            <c:numRef>
              <c:f>analysis!$H$5:$H$7</c:f>
              <c:numCache>
                <c:formatCode>0.00%</c:formatCode>
                <c:ptCount val="2"/>
                <c:pt idx="0">
                  <c:v>0.51960784313725494</c:v>
                </c:pt>
                <c:pt idx="1">
                  <c:v>0.48039215686274511</c:v>
                </c:pt>
              </c:numCache>
            </c:numRef>
          </c:val>
          <c:extLst>
            <c:ext xmlns:c16="http://schemas.microsoft.com/office/drawing/2014/chart" uri="{C3380CC4-5D6E-409C-BE32-E72D297353CC}">
              <c16:uniqueId val="{00000000-65E5-4963-99C2-AE30651A383C}"/>
            </c:ext>
          </c:extLst>
        </c:ser>
        <c:dLbls>
          <c:showLegendKey val="0"/>
          <c:showVal val="0"/>
          <c:showCatName val="0"/>
          <c:showSerName val="0"/>
          <c:showPercent val="1"/>
          <c:showBubbleSize val="0"/>
          <c:showLeaderLines val="1"/>
        </c:dLbls>
        <c:firstSliceAng val="0"/>
        <c:holeSize val="7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analysis!$H$27</c:f>
              <c:strCache>
                <c:ptCount val="1"/>
                <c:pt idx="0">
                  <c:v>Total</c:v>
                </c:pt>
              </c:strCache>
            </c:strRef>
          </c:tx>
          <c:spPr>
            <a:solidFill>
              <a:schemeClr val="accent1"/>
            </a:solidFill>
            <a:ln>
              <a:noFill/>
            </a:ln>
            <a:effectLst/>
          </c:spPr>
          <c:invertIfNegative val="0"/>
          <c:cat>
            <c:strRef>
              <c:f>analysis!$G$28:$G$38</c:f>
              <c:strCache>
                <c:ptCount val="10"/>
                <c:pt idx="0">
                  <c:v>التجمع الخامس</c:v>
                </c:pt>
                <c:pt idx="1">
                  <c:v>مصر الجديده</c:v>
                </c:pt>
                <c:pt idx="2">
                  <c:v> اكتوبر </c:v>
                </c:pt>
                <c:pt idx="3">
                  <c:v>القناطر</c:v>
                </c:pt>
                <c:pt idx="4">
                  <c:v>العباسيه</c:v>
                </c:pt>
                <c:pt idx="5">
                  <c:v>المعادى</c:v>
                </c:pt>
                <c:pt idx="6">
                  <c:v>السويس</c:v>
                </c:pt>
                <c:pt idx="7">
                  <c:v>المقطم</c:v>
                </c:pt>
                <c:pt idx="8">
                  <c:v>الشروق</c:v>
                </c:pt>
                <c:pt idx="9">
                  <c:v>العين السخنه</c:v>
                </c:pt>
              </c:strCache>
            </c:strRef>
          </c:cat>
          <c:val>
            <c:numRef>
              <c:f>analysis!$H$28:$H$38</c:f>
              <c:numCache>
                <c:formatCode>General</c:formatCode>
                <c:ptCount val="10"/>
                <c:pt idx="0">
                  <c:v>18</c:v>
                </c:pt>
                <c:pt idx="1">
                  <c:v>17</c:v>
                </c:pt>
                <c:pt idx="2">
                  <c:v>16</c:v>
                </c:pt>
                <c:pt idx="3">
                  <c:v>10</c:v>
                </c:pt>
                <c:pt idx="4">
                  <c:v>9</c:v>
                </c:pt>
                <c:pt idx="5">
                  <c:v>7</c:v>
                </c:pt>
                <c:pt idx="6">
                  <c:v>4</c:v>
                </c:pt>
                <c:pt idx="7">
                  <c:v>4</c:v>
                </c:pt>
                <c:pt idx="8">
                  <c:v>4</c:v>
                </c:pt>
                <c:pt idx="9">
                  <c:v>4</c:v>
                </c:pt>
              </c:numCache>
            </c:numRef>
          </c:val>
          <c:extLst>
            <c:ext xmlns:c16="http://schemas.microsoft.com/office/drawing/2014/chart" uri="{C3380CC4-5D6E-409C-BE32-E72D297353CC}">
              <c16:uniqueId val="{00000000-7146-4614-9B54-435DA11E291E}"/>
            </c:ext>
          </c:extLst>
        </c:ser>
        <c:dLbls>
          <c:showLegendKey val="0"/>
          <c:showVal val="0"/>
          <c:showCatName val="0"/>
          <c:showSerName val="0"/>
          <c:showPercent val="0"/>
          <c:showBubbleSize val="0"/>
        </c:dLbls>
        <c:gapWidth val="219"/>
        <c:axId val="1230609456"/>
        <c:axId val="1230620016"/>
      </c:barChart>
      <c:catAx>
        <c:axId val="123060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20016"/>
        <c:crosses val="autoZero"/>
        <c:auto val="1"/>
        <c:lblAlgn val="ctr"/>
        <c:lblOffset val="100"/>
        <c:noMultiLvlLbl val="0"/>
      </c:catAx>
      <c:valAx>
        <c:axId val="123062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0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analysis!$H$63</c:f>
              <c:strCache>
                <c:ptCount val="1"/>
                <c:pt idx="0">
                  <c:v>Total</c:v>
                </c:pt>
              </c:strCache>
            </c:strRef>
          </c:tx>
          <c:spPr>
            <a:solidFill>
              <a:schemeClr val="accent1"/>
            </a:solidFill>
            <a:ln>
              <a:noFill/>
            </a:ln>
            <a:effectLst/>
          </c:spPr>
          <c:invertIfNegative val="0"/>
          <c:cat>
            <c:strRef>
              <c:f>analysis!$G$64:$G$69</c:f>
              <c:strCache>
                <c:ptCount val="5"/>
                <c:pt idx="0">
                  <c:v>سرير</c:v>
                </c:pt>
                <c:pt idx="1">
                  <c:v>كنبه</c:v>
                </c:pt>
                <c:pt idx="2">
                  <c:v>ترابيزه</c:v>
                </c:pt>
                <c:pt idx="3">
                  <c:v>ركنة</c:v>
                </c:pt>
                <c:pt idx="4">
                  <c:v>كرسى</c:v>
                </c:pt>
              </c:strCache>
            </c:strRef>
          </c:cat>
          <c:val>
            <c:numRef>
              <c:f>analysis!$H$64:$H$69</c:f>
              <c:numCache>
                <c:formatCode>General</c:formatCode>
                <c:ptCount val="5"/>
                <c:pt idx="0">
                  <c:v>88</c:v>
                </c:pt>
                <c:pt idx="1">
                  <c:v>18</c:v>
                </c:pt>
                <c:pt idx="2">
                  <c:v>17</c:v>
                </c:pt>
                <c:pt idx="3">
                  <c:v>1</c:v>
                </c:pt>
                <c:pt idx="4">
                  <c:v>1</c:v>
                </c:pt>
              </c:numCache>
            </c:numRef>
          </c:val>
          <c:extLst>
            <c:ext xmlns:c16="http://schemas.microsoft.com/office/drawing/2014/chart" uri="{C3380CC4-5D6E-409C-BE32-E72D297353CC}">
              <c16:uniqueId val="{00000000-05C2-427B-9386-C05DA244D9CF}"/>
            </c:ext>
          </c:extLst>
        </c:ser>
        <c:dLbls>
          <c:showLegendKey val="0"/>
          <c:showVal val="0"/>
          <c:showCatName val="0"/>
          <c:showSerName val="0"/>
          <c:showPercent val="0"/>
          <c:showBubbleSize val="0"/>
        </c:dLbls>
        <c:gapWidth val="219"/>
        <c:overlap val="-27"/>
        <c:axId val="1230625296"/>
        <c:axId val="1230613296"/>
      </c:barChart>
      <c:catAx>
        <c:axId val="12306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13296"/>
        <c:crosses val="autoZero"/>
        <c:auto val="1"/>
        <c:lblAlgn val="ctr"/>
        <c:lblOffset val="100"/>
        <c:noMultiLvlLbl val="0"/>
      </c:catAx>
      <c:valAx>
        <c:axId val="123061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2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analysis!$H$92</c:f>
              <c:strCache>
                <c:ptCount val="1"/>
                <c:pt idx="0">
                  <c:v>Total</c:v>
                </c:pt>
              </c:strCache>
            </c:strRef>
          </c:tx>
          <c:spPr>
            <a:solidFill>
              <a:schemeClr val="accent1"/>
            </a:solidFill>
            <a:ln>
              <a:noFill/>
            </a:ln>
            <a:effectLst/>
          </c:spPr>
          <c:invertIfNegative val="0"/>
          <c:cat>
            <c:strRef>
              <c:f>analysis!$G$93:$G$101</c:f>
              <c:strCache>
                <c:ptCount val="8"/>
                <c:pt idx="0">
                  <c:v>هومزمارت</c:v>
                </c:pt>
                <c:pt idx="1">
                  <c:v>شيك هومز</c:v>
                </c:pt>
                <c:pt idx="2">
                  <c:v>اوسكار ريتن </c:v>
                </c:pt>
                <c:pt idx="3">
                  <c:v>تاكى</c:v>
                </c:pt>
                <c:pt idx="4">
                  <c:v>السويس</c:v>
                </c:pt>
                <c:pt idx="5">
                  <c:v>فيسبوك</c:v>
                </c:pt>
                <c:pt idx="6">
                  <c:v>منزلى</c:v>
                </c:pt>
                <c:pt idx="7">
                  <c:v>كينج</c:v>
                </c:pt>
              </c:strCache>
            </c:strRef>
          </c:cat>
          <c:val>
            <c:numRef>
              <c:f>analysis!$H$93:$H$101</c:f>
              <c:numCache>
                <c:formatCode>_(* #,##0_);_(* \(#,##0\);_(* "-"??_);_(@_)</c:formatCode>
                <c:ptCount val="8"/>
                <c:pt idx="0">
                  <c:v>869268</c:v>
                </c:pt>
                <c:pt idx="1">
                  <c:v>194340</c:v>
                </c:pt>
                <c:pt idx="2">
                  <c:v>68731.91</c:v>
                </c:pt>
                <c:pt idx="3">
                  <c:v>66900</c:v>
                </c:pt>
                <c:pt idx="4">
                  <c:v>37062</c:v>
                </c:pt>
                <c:pt idx="5">
                  <c:v>27450</c:v>
                </c:pt>
                <c:pt idx="6">
                  <c:v>9655</c:v>
                </c:pt>
                <c:pt idx="7">
                  <c:v>7396</c:v>
                </c:pt>
              </c:numCache>
            </c:numRef>
          </c:val>
          <c:extLst>
            <c:ext xmlns:c16="http://schemas.microsoft.com/office/drawing/2014/chart" uri="{C3380CC4-5D6E-409C-BE32-E72D297353CC}">
              <c16:uniqueId val="{00000000-F3BB-4653-A7B1-1E6CBBFE1D49}"/>
            </c:ext>
          </c:extLst>
        </c:ser>
        <c:dLbls>
          <c:showLegendKey val="0"/>
          <c:showVal val="0"/>
          <c:showCatName val="0"/>
          <c:showSerName val="0"/>
          <c:showPercent val="0"/>
          <c:showBubbleSize val="0"/>
        </c:dLbls>
        <c:gapWidth val="219"/>
        <c:overlap val="-27"/>
        <c:axId val="1503562959"/>
        <c:axId val="1503569679"/>
      </c:barChart>
      <c:catAx>
        <c:axId val="15035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9679"/>
        <c:crosses val="autoZero"/>
        <c:auto val="1"/>
        <c:lblAlgn val="ctr"/>
        <c:lblOffset val="100"/>
        <c:noMultiLvlLbl val="0"/>
      </c:catAx>
      <c:valAx>
        <c:axId val="15035696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analysis!$H$122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61D-47D8-8956-2B23CC0FD925}"/>
              </c:ext>
            </c:extLst>
          </c:dPt>
          <c:dPt>
            <c:idx val="1"/>
            <c:bubble3D val="0"/>
            <c:spPr>
              <a:solidFill>
                <a:schemeClr val="accent2"/>
              </a:solidFill>
              <a:ln>
                <a:noFill/>
              </a:ln>
              <a:effectLst/>
            </c:spPr>
            <c:extLst>
              <c:ext xmlns:c16="http://schemas.microsoft.com/office/drawing/2014/chart" uri="{C3380CC4-5D6E-409C-BE32-E72D297353CC}">
                <c16:uniqueId val="{00000003-961D-47D8-8956-2B23CC0FD925}"/>
              </c:ext>
            </c:extLst>
          </c:dPt>
          <c:dPt>
            <c:idx val="2"/>
            <c:bubble3D val="0"/>
            <c:spPr>
              <a:solidFill>
                <a:schemeClr val="accent3"/>
              </a:solidFill>
              <a:ln>
                <a:noFill/>
              </a:ln>
              <a:effectLst/>
            </c:spPr>
            <c:extLst>
              <c:ext xmlns:c16="http://schemas.microsoft.com/office/drawing/2014/chart" uri="{C3380CC4-5D6E-409C-BE32-E72D297353CC}">
                <c16:uniqueId val="{00000005-961D-47D8-8956-2B23CC0FD9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analysis!$G$123:$G$126</c:f>
              <c:strCache>
                <c:ptCount val="3"/>
                <c:pt idx="0">
                  <c:v>اسود</c:v>
                </c:pt>
                <c:pt idx="1">
                  <c:v>ابيض</c:v>
                </c:pt>
                <c:pt idx="2">
                  <c:v>رمادى</c:v>
                </c:pt>
              </c:strCache>
            </c:strRef>
          </c:cat>
          <c:val>
            <c:numRef>
              <c:f>analysis!$H$123:$H$126</c:f>
              <c:numCache>
                <c:formatCode>General</c:formatCode>
                <c:ptCount val="3"/>
                <c:pt idx="0">
                  <c:v>66</c:v>
                </c:pt>
                <c:pt idx="1">
                  <c:v>37</c:v>
                </c:pt>
                <c:pt idx="2">
                  <c:v>6</c:v>
                </c:pt>
              </c:numCache>
            </c:numRef>
          </c:val>
          <c:extLst>
            <c:ext xmlns:c16="http://schemas.microsoft.com/office/drawing/2014/chart" uri="{C3380CC4-5D6E-409C-BE32-E72D297353CC}">
              <c16:uniqueId val="{00000000-D89F-4168-8E62-35941E8B70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analysis!$O$64:$O$65</c:f>
              <c:strCache>
                <c:ptCount val="1"/>
                <c:pt idx="0">
                  <c:v>سرير</c:v>
                </c:pt>
              </c:strCache>
            </c:strRef>
          </c:tx>
          <c:spPr>
            <a:solidFill>
              <a:schemeClr val="accent1"/>
            </a:solidFill>
            <a:ln>
              <a:noFill/>
            </a:ln>
            <a:effectLst/>
          </c:spPr>
          <c:invertIfNegative val="0"/>
          <c:cat>
            <c:strRef>
              <c:f>analysis!$N$66:$N$73</c:f>
              <c:strCache>
                <c:ptCount val="7"/>
                <c:pt idx="0">
                  <c:v> اسيوط</c:v>
                </c:pt>
                <c:pt idx="1">
                  <c:v>اسكندريه</c:v>
                </c:pt>
                <c:pt idx="2">
                  <c:v>الجيزه</c:v>
                </c:pt>
                <c:pt idx="3">
                  <c:v>الساحل</c:v>
                </c:pt>
                <c:pt idx="4">
                  <c:v>السويس</c:v>
                </c:pt>
                <c:pt idx="5">
                  <c:v>الغردقه</c:v>
                </c:pt>
                <c:pt idx="6">
                  <c:v>القاهره</c:v>
                </c:pt>
              </c:strCache>
            </c:strRef>
          </c:cat>
          <c:val>
            <c:numRef>
              <c:f>analysis!$O$66:$O$73</c:f>
              <c:numCache>
                <c:formatCode>_(* #,##0_);_(* \(#,##0\);_(* "-"??_);_(@_)</c:formatCode>
                <c:ptCount val="7"/>
                <c:pt idx="0">
                  <c:v>12999</c:v>
                </c:pt>
                <c:pt idx="1">
                  <c:v>37964</c:v>
                </c:pt>
                <c:pt idx="2">
                  <c:v>253139</c:v>
                </c:pt>
                <c:pt idx="3">
                  <c:v>24288</c:v>
                </c:pt>
                <c:pt idx="4">
                  <c:v>35642</c:v>
                </c:pt>
                <c:pt idx="5">
                  <c:v>10999</c:v>
                </c:pt>
                <c:pt idx="6">
                  <c:v>468513.91000000003</c:v>
                </c:pt>
              </c:numCache>
            </c:numRef>
          </c:val>
          <c:extLst>
            <c:ext xmlns:c16="http://schemas.microsoft.com/office/drawing/2014/chart" uri="{C3380CC4-5D6E-409C-BE32-E72D297353CC}">
              <c16:uniqueId val="{00000000-B275-493C-87EB-C61B9BBDF5F2}"/>
            </c:ext>
          </c:extLst>
        </c:ser>
        <c:ser>
          <c:idx val="1"/>
          <c:order val="1"/>
          <c:tx>
            <c:strRef>
              <c:f>analysis!$P$64:$P$65</c:f>
              <c:strCache>
                <c:ptCount val="1"/>
                <c:pt idx="0">
                  <c:v>كنبه</c:v>
                </c:pt>
              </c:strCache>
            </c:strRef>
          </c:tx>
          <c:spPr>
            <a:solidFill>
              <a:schemeClr val="accent2"/>
            </a:solidFill>
            <a:ln>
              <a:noFill/>
            </a:ln>
            <a:effectLst/>
          </c:spPr>
          <c:invertIfNegative val="0"/>
          <c:cat>
            <c:strRef>
              <c:f>analysis!$N$66:$N$73</c:f>
              <c:strCache>
                <c:ptCount val="7"/>
                <c:pt idx="0">
                  <c:v> اسيوط</c:v>
                </c:pt>
                <c:pt idx="1">
                  <c:v>اسكندريه</c:v>
                </c:pt>
                <c:pt idx="2">
                  <c:v>الجيزه</c:v>
                </c:pt>
                <c:pt idx="3">
                  <c:v>الساحل</c:v>
                </c:pt>
                <c:pt idx="4">
                  <c:v>السويس</c:v>
                </c:pt>
                <c:pt idx="5">
                  <c:v>الغردقه</c:v>
                </c:pt>
                <c:pt idx="6">
                  <c:v>القاهره</c:v>
                </c:pt>
              </c:strCache>
            </c:strRef>
          </c:cat>
          <c:val>
            <c:numRef>
              <c:f>analysis!$P$66:$P$73</c:f>
              <c:numCache>
                <c:formatCode>_(* #,##0_);_(* \(#,##0\);_(* "-"??_);_(@_)</c:formatCode>
                <c:ptCount val="7"/>
                <c:pt idx="2">
                  <c:v>14550</c:v>
                </c:pt>
                <c:pt idx="4">
                  <c:v>23918</c:v>
                </c:pt>
                <c:pt idx="5">
                  <c:v>21999</c:v>
                </c:pt>
                <c:pt idx="6">
                  <c:v>194685</c:v>
                </c:pt>
              </c:numCache>
            </c:numRef>
          </c:val>
          <c:extLst>
            <c:ext xmlns:c16="http://schemas.microsoft.com/office/drawing/2014/chart" uri="{C3380CC4-5D6E-409C-BE32-E72D297353CC}">
              <c16:uniqueId val="{00000001-B275-493C-87EB-C61B9BBDF5F2}"/>
            </c:ext>
          </c:extLst>
        </c:ser>
        <c:ser>
          <c:idx val="2"/>
          <c:order val="2"/>
          <c:tx>
            <c:strRef>
              <c:f>analysis!$Q$64:$Q$65</c:f>
              <c:strCache>
                <c:ptCount val="1"/>
                <c:pt idx="0">
                  <c:v>ترابيزه</c:v>
                </c:pt>
              </c:strCache>
            </c:strRef>
          </c:tx>
          <c:spPr>
            <a:solidFill>
              <a:schemeClr val="accent3"/>
            </a:solidFill>
            <a:ln>
              <a:noFill/>
            </a:ln>
            <a:effectLst/>
          </c:spPr>
          <c:invertIfNegative val="0"/>
          <c:cat>
            <c:strRef>
              <c:f>analysis!$N$66:$N$73</c:f>
              <c:strCache>
                <c:ptCount val="7"/>
                <c:pt idx="0">
                  <c:v> اسيوط</c:v>
                </c:pt>
                <c:pt idx="1">
                  <c:v>اسكندريه</c:v>
                </c:pt>
                <c:pt idx="2">
                  <c:v>الجيزه</c:v>
                </c:pt>
                <c:pt idx="3">
                  <c:v>الساحل</c:v>
                </c:pt>
                <c:pt idx="4">
                  <c:v>السويس</c:v>
                </c:pt>
                <c:pt idx="5">
                  <c:v>الغردقه</c:v>
                </c:pt>
                <c:pt idx="6">
                  <c:v>القاهره</c:v>
                </c:pt>
              </c:strCache>
            </c:strRef>
          </c:cat>
          <c:val>
            <c:numRef>
              <c:f>analysis!$Q$66:$Q$73</c:f>
              <c:numCache>
                <c:formatCode>_(* #,##0_);_(* \(#,##0\);_(* "-"??_);_(@_)</c:formatCode>
                <c:ptCount val="7"/>
                <c:pt idx="1">
                  <c:v>16798</c:v>
                </c:pt>
                <c:pt idx="2">
                  <c:v>16698</c:v>
                </c:pt>
                <c:pt idx="4">
                  <c:v>16878</c:v>
                </c:pt>
                <c:pt idx="5">
                  <c:v>8642</c:v>
                </c:pt>
                <c:pt idx="6">
                  <c:v>91790</c:v>
                </c:pt>
              </c:numCache>
            </c:numRef>
          </c:val>
          <c:extLst>
            <c:ext xmlns:c16="http://schemas.microsoft.com/office/drawing/2014/chart" uri="{C3380CC4-5D6E-409C-BE32-E72D297353CC}">
              <c16:uniqueId val="{00000002-B275-493C-87EB-C61B9BBDF5F2}"/>
            </c:ext>
          </c:extLst>
        </c:ser>
        <c:ser>
          <c:idx val="3"/>
          <c:order val="3"/>
          <c:tx>
            <c:strRef>
              <c:f>analysis!$R$64:$R$65</c:f>
              <c:strCache>
                <c:ptCount val="1"/>
                <c:pt idx="0">
                  <c:v>ركنة</c:v>
                </c:pt>
              </c:strCache>
            </c:strRef>
          </c:tx>
          <c:spPr>
            <a:solidFill>
              <a:schemeClr val="accent4"/>
            </a:solidFill>
            <a:ln>
              <a:noFill/>
            </a:ln>
            <a:effectLst/>
          </c:spPr>
          <c:invertIfNegative val="0"/>
          <c:cat>
            <c:strRef>
              <c:f>analysis!$N$66:$N$73</c:f>
              <c:strCache>
                <c:ptCount val="7"/>
                <c:pt idx="0">
                  <c:v> اسيوط</c:v>
                </c:pt>
                <c:pt idx="1">
                  <c:v>اسكندريه</c:v>
                </c:pt>
                <c:pt idx="2">
                  <c:v>الجيزه</c:v>
                </c:pt>
                <c:pt idx="3">
                  <c:v>الساحل</c:v>
                </c:pt>
                <c:pt idx="4">
                  <c:v>السويس</c:v>
                </c:pt>
                <c:pt idx="5">
                  <c:v>الغردقه</c:v>
                </c:pt>
                <c:pt idx="6">
                  <c:v>القاهره</c:v>
                </c:pt>
              </c:strCache>
            </c:strRef>
          </c:cat>
          <c:val>
            <c:numRef>
              <c:f>analysis!$R$66:$R$73</c:f>
              <c:numCache>
                <c:formatCode>_(* #,##0_);_(* \(#,##0\);_(* "-"??_);_(@_)</c:formatCode>
                <c:ptCount val="7"/>
                <c:pt idx="6">
                  <c:v>22000</c:v>
                </c:pt>
              </c:numCache>
            </c:numRef>
          </c:val>
          <c:extLst>
            <c:ext xmlns:c16="http://schemas.microsoft.com/office/drawing/2014/chart" uri="{C3380CC4-5D6E-409C-BE32-E72D297353CC}">
              <c16:uniqueId val="{00000003-B275-493C-87EB-C61B9BBDF5F2}"/>
            </c:ext>
          </c:extLst>
        </c:ser>
        <c:ser>
          <c:idx val="4"/>
          <c:order val="4"/>
          <c:tx>
            <c:strRef>
              <c:f>analysis!$S$64:$S$65</c:f>
              <c:strCache>
                <c:ptCount val="1"/>
                <c:pt idx="0">
                  <c:v>كرسى</c:v>
                </c:pt>
              </c:strCache>
            </c:strRef>
          </c:tx>
          <c:spPr>
            <a:solidFill>
              <a:schemeClr val="accent5"/>
            </a:solidFill>
            <a:ln>
              <a:noFill/>
            </a:ln>
            <a:effectLst/>
          </c:spPr>
          <c:invertIfNegative val="0"/>
          <c:cat>
            <c:strRef>
              <c:f>analysis!$N$66:$N$73</c:f>
              <c:strCache>
                <c:ptCount val="7"/>
                <c:pt idx="0">
                  <c:v> اسيوط</c:v>
                </c:pt>
                <c:pt idx="1">
                  <c:v>اسكندريه</c:v>
                </c:pt>
                <c:pt idx="2">
                  <c:v>الجيزه</c:v>
                </c:pt>
                <c:pt idx="3">
                  <c:v>الساحل</c:v>
                </c:pt>
                <c:pt idx="4">
                  <c:v>السويس</c:v>
                </c:pt>
                <c:pt idx="5">
                  <c:v>الغردقه</c:v>
                </c:pt>
                <c:pt idx="6">
                  <c:v>القاهره</c:v>
                </c:pt>
              </c:strCache>
            </c:strRef>
          </c:cat>
          <c:val>
            <c:numRef>
              <c:f>analysis!$S$66:$S$73</c:f>
              <c:numCache>
                <c:formatCode>_(* #,##0_);_(* \(#,##0\);_(* "-"??_);_(@_)</c:formatCode>
                <c:ptCount val="7"/>
                <c:pt idx="6">
                  <c:v>9300</c:v>
                </c:pt>
              </c:numCache>
            </c:numRef>
          </c:val>
          <c:extLst>
            <c:ext xmlns:c16="http://schemas.microsoft.com/office/drawing/2014/chart" uri="{C3380CC4-5D6E-409C-BE32-E72D297353CC}">
              <c16:uniqueId val="{00000004-B275-493C-87EB-C61B9BBDF5F2}"/>
            </c:ext>
          </c:extLst>
        </c:ser>
        <c:dLbls>
          <c:showLegendKey val="0"/>
          <c:showVal val="0"/>
          <c:showCatName val="0"/>
          <c:showSerName val="0"/>
          <c:showPercent val="0"/>
          <c:showBubbleSize val="0"/>
        </c:dLbls>
        <c:gapWidth val="219"/>
        <c:overlap val="-27"/>
        <c:axId val="15163855"/>
        <c:axId val="15164335"/>
      </c:barChart>
      <c:catAx>
        <c:axId val="151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335"/>
        <c:crosses val="autoZero"/>
        <c:auto val="1"/>
        <c:lblAlgn val="ctr"/>
        <c:lblOffset val="100"/>
        <c:noMultiLvlLbl val="0"/>
      </c:catAx>
      <c:valAx>
        <c:axId val="151643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analysis!$O$3:$O$4</c:f>
              <c:strCache>
                <c:ptCount val="1"/>
                <c:pt idx="0">
                  <c:v>تم التسليم</c:v>
                </c:pt>
              </c:strCache>
            </c:strRef>
          </c:tx>
          <c:spPr>
            <a:ln w="28575" cap="rnd">
              <a:solidFill>
                <a:schemeClr val="accent1"/>
              </a:solidFill>
              <a:round/>
            </a:ln>
            <a:effectLst/>
          </c:spPr>
          <c:marker>
            <c:symbol val="none"/>
          </c:marker>
          <c:cat>
            <c:strRef>
              <c:f>analysis!$N$5:$N$11</c:f>
              <c:strCache>
                <c:ptCount val="6"/>
                <c:pt idx="0">
                  <c:v>Jul</c:v>
                </c:pt>
                <c:pt idx="1">
                  <c:v>Aug</c:v>
                </c:pt>
                <c:pt idx="2">
                  <c:v>Sep</c:v>
                </c:pt>
                <c:pt idx="3">
                  <c:v>Oct</c:v>
                </c:pt>
                <c:pt idx="4">
                  <c:v>Nov</c:v>
                </c:pt>
                <c:pt idx="5">
                  <c:v>Dec</c:v>
                </c:pt>
              </c:strCache>
            </c:strRef>
          </c:cat>
          <c:val>
            <c:numRef>
              <c:f>analysis!$O$5:$O$11</c:f>
              <c:numCache>
                <c:formatCode>General</c:formatCode>
                <c:ptCount val="6"/>
                <c:pt idx="0">
                  <c:v>20320</c:v>
                </c:pt>
                <c:pt idx="1">
                  <c:v>76420</c:v>
                </c:pt>
                <c:pt idx="2">
                  <c:v>535083</c:v>
                </c:pt>
                <c:pt idx="3">
                  <c:v>205856</c:v>
                </c:pt>
                <c:pt idx="4">
                  <c:v>136659</c:v>
                </c:pt>
                <c:pt idx="5">
                  <c:v>58909</c:v>
                </c:pt>
              </c:numCache>
            </c:numRef>
          </c:val>
          <c:smooth val="0"/>
          <c:extLst>
            <c:ext xmlns:c16="http://schemas.microsoft.com/office/drawing/2014/chart" uri="{C3380CC4-5D6E-409C-BE32-E72D297353CC}">
              <c16:uniqueId val="{00000000-441C-41FE-9641-605801FDA063}"/>
            </c:ext>
          </c:extLst>
        </c:ser>
        <c:dLbls>
          <c:showLegendKey val="0"/>
          <c:showVal val="0"/>
          <c:showCatName val="0"/>
          <c:showSerName val="0"/>
          <c:showPercent val="0"/>
          <c:showBubbleSize val="0"/>
        </c:dLbls>
        <c:smooth val="0"/>
        <c:axId val="482842704"/>
        <c:axId val="482840304"/>
      </c:lineChart>
      <c:catAx>
        <c:axId val="48284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40304"/>
        <c:crosses val="autoZero"/>
        <c:auto val="1"/>
        <c:lblAlgn val="ctr"/>
        <c:lblOffset val="100"/>
        <c:noMultiLvlLbl val="0"/>
      </c:catAx>
      <c:valAx>
        <c:axId val="48284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Copy.xlsx]analysis!PivotTable10</c:name>
    <c:fmtId val="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5.2777777777777805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805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solidFill>
              <a:srgbClr val="140E3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40E3D"/>
          </a:solidFill>
          <a:ln w="25400">
            <a:noFill/>
          </a:ln>
          <a:effectLst/>
        </c:spPr>
        <c:dLbl>
          <c:idx val="0"/>
          <c:spPr>
            <a:solidFill>
              <a:srgbClr val="140E3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1F29"/>
          </a:solidFill>
          <a:ln w="25400">
            <a:noFill/>
          </a:ln>
          <a:effectLst/>
        </c:spPr>
        <c:dLbl>
          <c:idx val="0"/>
          <c:layout>
            <c:manualLayout>
              <c:x val="0.35633977570985442"/>
              <c:y val="-4.7071300832606723E-2"/>
            </c:manualLayout>
          </c:layout>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fld id="{D695649F-4D92-49A3-A736-132B9DCCE2DE}" type="PERCENTAGE">
                  <a:rPr lang="en-US" sz="1400"/>
                  <a:pPr>
                    <a:defRPr/>
                  </a:pPr>
                  <a:t>[PERCENTAGE]</a:t>
                </a:fld>
                <a:endParaRPr lang="en-US"/>
              </a:p>
            </c:rich>
          </c:tx>
          <c:spPr>
            <a:solidFill>
              <a:srgbClr val="140E3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26786440427341"/>
          <c:y val="0.13976711474601589"/>
          <c:w val="0.56781061190880555"/>
          <c:h val="0.7275965127474644"/>
        </c:manualLayout>
      </c:layout>
      <c:doughnutChart>
        <c:varyColors val="1"/>
        <c:ser>
          <c:idx val="0"/>
          <c:order val="0"/>
          <c:tx>
            <c:strRef>
              <c:f>analysis!$H$3:$H$4</c:f>
              <c:strCache>
                <c:ptCount val="1"/>
                <c:pt idx="0">
                  <c:v>تم التسليم</c:v>
                </c:pt>
              </c:strCache>
            </c:strRef>
          </c:tx>
          <c:spPr>
            <a:ln w="25400">
              <a:noFill/>
            </a:ln>
          </c:spPr>
          <c:dPt>
            <c:idx val="0"/>
            <c:bubble3D val="0"/>
            <c:spPr>
              <a:solidFill>
                <a:srgbClr val="140E3D"/>
              </a:solidFill>
              <a:ln w="25400">
                <a:noFill/>
              </a:ln>
              <a:effectLst/>
            </c:spPr>
            <c:extLst>
              <c:ext xmlns:c16="http://schemas.microsoft.com/office/drawing/2014/chart" uri="{C3380CC4-5D6E-409C-BE32-E72D297353CC}">
                <c16:uniqueId val="{00000001-DE99-497D-85E6-4084DD29CDD9}"/>
              </c:ext>
            </c:extLst>
          </c:dPt>
          <c:dPt>
            <c:idx val="1"/>
            <c:bubble3D val="0"/>
            <c:spPr>
              <a:solidFill>
                <a:srgbClr val="CC1F29"/>
              </a:solidFill>
              <a:ln w="25400">
                <a:noFill/>
              </a:ln>
              <a:effectLst/>
            </c:spPr>
            <c:extLst>
              <c:ext xmlns:c16="http://schemas.microsoft.com/office/drawing/2014/chart" uri="{C3380CC4-5D6E-409C-BE32-E72D297353CC}">
                <c16:uniqueId val="{00000003-DE99-497D-85E6-4084DD29CDD9}"/>
              </c:ext>
            </c:extLst>
          </c:dPt>
          <c:dLbls>
            <c:dLbl>
              <c:idx val="0"/>
              <c:delete val="1"/>
              <c:extLst>
                <c:ext xmlns:c15="http://schemas.microsoft.com/office/drawing/2012/chart" uri="{CE6537A1-D6FC-4f65-9D91-7224C49458BB}"/>
                <c:ext xmlns:c16="http://schemas.microsoft.com/office/drawing/2014/chart" uri="{C3380CC4-5D6E-409C-BE32-E72D297353CC}">
                  <c16:uniqueId val="{00000001-DE99-497D-85E6-4084DD29CDD9}"/>
                </c:ext>
              </c:extLst>
            </c:dLbl>
            <c:dLbl>
              <c:idx val="1"/>
              <c:layout>
                <c:manualLayout>
                  <c:x val="0.35633977570985442"/>
                  <c:y val="-4.7071300832606723E-2"/>
                </c:manualLayout>
              </c:layout>
              <c:tx>
                <c:rich>
                  <a:bodyPr/>
                  <a:lstStyle/>
                  <a:p>
                    <a:fld id="{D695649F-4D92-49A3-A736-132B9DCCE2DE}" type="PERCENTAGE">
                      <a:rPr lang="en-US" sz="140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99-497D-85E6-4084DD29CDD9}"/>
                </c:ext>
              </c:extLst>
            </c:dLbl>
            <c:spPr>
              <a:solidFill>
                <a:srgbClr val="140E3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12700" cap="flat" cmpd="sng" algn="ctr">
                  <a:solidFill>
                    <a:srgbClr val="C6C4D3"/>
                  </a:solidFill>
                  <a:round/>
                </a:ln>
                <a:effectLst/>
              </c:spPr>
            </c:leaderLines>
            <c:extLst>
              <c:ext xmlns:c15="http://schemas.microsoft.com/office/drawing/2012/chart" uri="{CE6537A1-D6FC-4f65-9D91-7224C49458BB}"/>
            </c:extLst>
          </c:dLbls>
          <c:cat>
            <c:strRef>
              <c:f>analysis!$G$5:$G$7</c:f>
              <c:strCache>
                <c:ptCount val="2"/>
                <c:pt idx="0">
                  <c:v>no</c:v>
                </c:pt>
                <c:pt idx="1">
                  <c:v>yes</c:v>
                </c:pt>
              </c:strCache>
            </c:strRef>
          </c:cat>
          <c:val>
            <c:numRef>
              <c:f>analysis!$H$5:$H$7</c:f>
              <c:numCache>
                <c:formatCode>0.00%</c:formatCode>
                <c:ptCount val="2"/>
                <c:pt idx="0">
                  <c:v>0.51960784313725494</c:v>
                </c:pt>
                <c:pt idx="1">
                  <c:v>0.48039215686274511</c:v>
                </c:pt>
              </c:numCache>
            </c:numRef>
          </c:val>
          <c:extLst>
            <c:ext xmlns:c16="http://schemas.microsoft.com/office/drawing/2014/chart" uri="{C3380CC4-5D6E-409C-BE32-E72D297353CC}">
              <c16:uniqueId val="{00000004-DE99-497D-85E6-4084DD29CDD9}"/>
            </c:ext>
          </c:extLst>
        </c:ser>
        <c:dLbls>
          <c:showLegendKey val="0"/>
          <c:showVal val="0"/>
          <c:showCatName val="0"/>
          <c:showSerName val="0"/>
          <c:showPercent val="1"/>
          <c:showBubbleSize val="0"/>
          <c:showLeaderLines val="1"/>
        </c:dLbls>
        <c:firstSliceAng val="0"/>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0E3D">
        <a:alpha val="0"/>
      </a:srgbClr>
    </a:solidFill>
    <a:ln w="603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140E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pivotFmt>
      <c:pivotFmt>
        <c:idx val="7"/>
        <c:spPr>
          <a:solidFill>
            <a:schemeClr val="tx1">
              <a:lumMod val="95000"/>
              <a:lumOff val="5000"/>
            </a:schemeClr>
          </a:solidFill>
          <a:ln>
            <a:noFill/>
          </a:ln>
          <a:effectLst/>
        </c:spPr>
        <c:dLbl>
          <c:idx val="0"/>
          <c:layout>
            <c:manualLayout>
              <c:x val="-0.16460559196567504"/>
              <c:y val="-0.117316862338315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40E3D"/>
          </a:solidFill>
          <a:ln>
            <a:noFill/>
          </a:ln>
          <a:effectLst/>
        </c:spPr>
      </c:pivotFmt>
      <c:pivotFmt>
        <c:idx val="9"/>
        <c:spPr>
          <a:solidFill>
            <a:srgbClr val="C6C4D3"/>
          </a:solidFill>
          <a:ln>
            <a:noFill/>
          </a:ln>
          <a:effectLst/>
        </c:spPr>
      </c:pivotFmt>
      <c:pivotFmt>
        <c:idx val="10"/>
        <c:spPr>
          <a:gradFill flip="none" rotWithShape="1">
            <a:gsLst>
              <a:gs pos="0">
                <a:srgbClr val="00B050"/>
              </a:gs>
              <a:gs pos="61000">
                <a:schemeClr val="accent1">
                  <a:lumMod val="0"/>
                  <a:lumOff val="100000"/>
                </a:schemeClr>
              </a:gs>
              <a:gs pos="100000">
                <a:schemeClr val="accent1">
                  <a:lumMod val="100000"/>
                </a:schemeClr>
              </a:gs>
            </a:gsLst>
            <a:path path="circle">
              <a:fillToRect l="50000" t="-80000" r="50000" b="180000"/>
            </a:path>
            <a:tileRect/>
          </a:gradFill>
          <a:ln>
            <a:noFill/>
          </a:ln>
          <a:effectLst/>
        </c:spPr>
      </c:pivotFmt>
      <c:pivotFmt>
        <c:idx val="11"/>
        <c:spPr>
          <a:solidFill>
            <a:srgbClr val="0070C0"/>
          </a:solidFill>
          <a:ln>
            <a:noFill/>
          </a:ln>
          <a:effectLst/>
        </c:spPr>
      </c:pivotFmt>
      <c:pivotFmt>
        <c:idx val="12"/>
        <c:spPr>
          <a:solidFill>
            <a:srgbClr val="FFC000"/>
          </a:solidFill>
          <a:ln>
            <a:noFill/>
          </a:ln>
          <a:effectLst/>
        </c:spPr>
      </c:pivotFmt>
      <c:pivotFmt>
        <c:idx val="13"/>
        <c:spPr>
          <a:solidFill>
            <a:schemeClr val="accent4">
              <a:lumMod val="50000"/>
            </a:schemeClr>
          </a:solidFill>
          <a:ln>
            <a:noFill/>
          </a:ln>
          <a:effectLst/>
        </c:spPr>
      </c:pivotFmt>
      <c:pivotFmt>
        <c:idx val="14"/>
        <c:spPr>
          <a:solidFill>
            <a:srgbClr val="7030A0"/>
          </a:solidFill>
          <a:ln>
            <a:noFill/>
          </a:ln>
          <a:effectLst/>
        </c:spPr>
      </c:pivotFmt>
      <c:pivotFmt>
        <c:idx val="15"/>
        <c:spPr>
          <a:solidFill>
            <a:srgbClr val="FF6699"/>
          </a:solidFill>
          <a:ln>
            <a:noFill/>
          </a:ln>
          <a:effectLst/>
        </c:spPr>
      </c:pivotFmt>
      <c:pivotFmt>
        <c:idx val="16"/>
        <c:spPr>
          <a:solidFill>
            <a:srgbClr val="800000"/>
          </a:solidFill>
          <a:ln>
            <a:noFill/>
          </a:ln>
          <a:effectLst/>
        </c:spPr>
      </c:pivotFmt>
    </c:pivotFmts>
    <c:plotArea>
      <c:layout/>
      <c:pieChart>
        <c:varyColors val="1"/>
        <c:ser>
          <c:idx val="0"/>
          <c:order val="0"/>
          <c:tx>
            <c:strRef>
              <c:f>analysis!$H$122</c:f>
              <c:strCache>
                <c:ptCount val="1"/>
                <c:pt idx="0">
                  <c:v>Total</c:v>
                </c:pt>
              </c:strCache>
            </c:strRef>
          </c:tx>
          <c:spPr>
            <a:solidFill>
              <a:srgbClr val="140E3D"/>
            </a:solidFill>
          </c:spPr>
          <c:dPt>
            <c:idx val="0"/>
            <c:bubble3D val="0"/>
            <c:spPr>
              <a:solidFill>
                <a:schemeClr val="tx1">
                  <a:lumMod val="95000"/>
                  <a:lumOff val="5000"/>
                </a:schemeClr>
              </a:solidFill>
              <a:ln>
                <a:noFill/>
              </a:ln>
              <a:effectLst/>
            </c:spPr>
            <c:extLst>
              <c:ext xmlns:c16="http://schemas.microsoft.com/office/drawing/2014/chart" uri="{C3380CC4-5D6E-409C-BE32-E72D297353CC}">
                <c16:uniqueId val="{00000001-93EE-405C-A291-26CC81522692}"/>
              </c:ext>
            </c:extLst>
          </c:dPt>
          <c:dPt>
            <c:idx val="1"/>
            <c:bubble3D val="0"/>
            <c:spPr>
              <a:solidFill>
                <a:schemeClr val="bg1"/>
              </a:solidFill>
              <a:ln>
                <a:noFill/>
              </a:ln>
              <a:effectLst/>
            </c:spPr>
            <c:extLst>
              <c:ext xmlns:c16="http://schemas.microsoft.com/office/drawing/2014/chart" uri="{C3380CC4-5D6E-409C-BE32-E72D297353CC}">
                <c16:uniqueId val="{00000003-93EE-405C-A291-26CC81522692}"/>
              </c:ext>
            </c:extLst>
          </c:dPt>
          <c:dPt>
            <c:idx val="2"/>
            <c:bubble3D val="0"/>
            <c:spPr>
              <a:solidFill>
                <a:srgbClr val="C6C4D3"/>
              </a:solidFill>
              <a:ln>
                <a:noFill/>
              </a:ln>
              <a:effectLst/>
            </c:spPr>
            <c:extLst>
              <c:ext xmlns:c16="http://schemas.microsoft.com/office/drawing/2014/chart" uri="{C3380CC4-5D6E-409C-BE32-E72D297353CC}">
                <c16:uniqueId val="{00000005-93EE-405C-A291-26CC81522692}"/>
              </c:ext>
            </c:extLst>
          </c:dPt>
          <c:dLbls>
            <c:dLbl>
              <c:idx val="0"/>
              <c:layout>
                <c:manualLayout>
                  <c:x val="-0.16460559196567504"/>
                  <c:y val="-0.117316862338315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EE-405C-A291-26CC815226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analysis!$G$123:$G$126</c:f>
              <c:strCache>
                <c:ptCount val="3"/>
                <c:pt idx="0">
                  <c:v>اسود</c:v>
                </c:pt>
                <c:pt idx="1">
                  <c:v>ابيض</c:v>
                </c:pt>
                <c:pt idx="2">
                  <c:v>رمادى</c:v>
                </c:pt>
              </c:strCache>
            </c:strRef>
          </c:cat>
          <c:val>
            <c:numRef>
              <c:f>analysis!$H$123:$H$126</c:f>
              <c:numCache>
                <c:formatCode>General</c:formatCode>
                <c:ptCount val="3"/>
                <c:pt idx="0">
                  <c:v>66</c:v>
                </c:pt>
                <c:pt idx="1">
                  <c:v>37</c:v>
                </c:pt>
                <c:pt idx="2">
                  <c:v>6</c:v>
                </c:pt>
              </c:numCache>
            </c:numRef>
          </c:val>
          <c:extLst>
            <c:ext xmlns:c16="http://schemas.microsoft.com/office/drawing/2014/chart" uri="{C3380CC4-5D6E-409C-BE32-E72D297353CC}">
              <c16:uniqueId val="{00000006-93EE-405C-A291-26CC8152269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Copy.xlsx]analysis!PivotTable12</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77149447228188E-2"/>
          <c:y val="5.854955296363356E-2"/>
          <c:w val="0.90687830687830684"/>
          <c:h val="0.82137984998405289"/>
        </c:manualLayout>
      </c:layout>
      <c:barChart>
        <c:barDir val="col"/>
        <c:grouping val="clustered"/>
        <c:varyColors val="0"/>
        <c:ser>
          <c:idx val="0"/>
          <c:order val="0"/>
          <c:tx>
            <c:strRef>
              <c:f>analysis!$H$63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analysis!$G$64:$G$69</c:f>
              <c:strCache>
                <c:ptCount val="5"/>
                <c:pt idx="0">
                  <c:v>سرير</c:v>
                </c:pt>
                <c:pt idx="1">
                  <c:v>كنبه</c:v>
                </c:pt>
                <c:pt idx="2">
                  <c:v>ترابيزه</c:v>
                </c:pt>
                <c:pt idx="3">
                  <c:v>ركنة</c:v>
                </c:pt>
                <c:pt idx="4">
                  <c:v>كرسى</c:v>
                </c:pt>
              </c:strCache>
            </c:strRef>
          </c:cat>
          <c:val>
            <c:numRef>
              <c:f>analysis!$H$64:$H$69</c:f>
              <c:numCache>
                <c:formatCode>General</c:formatCode>
                <c:ptCount val="5"/>
                <c:pt idx="0">
                  <c:v>88</c:v>
                </c:pt>
                <c:pt idx="1">
                  <c:v>18</c:v>
                </c:pt>
                <c:pt idx="2">
                  <c:v>17</c:v>
                </c:pt>
                <c:pt idx="3">
                  <c:v>1</c:v>
                </c:pt>
                <c:pt idx="4">
                  <c:v>1</c:v>
                </c:pt>
              </c:numCache>
            </c:numRef>
          </c:val>
          <c:extLst>
            <c:ext xmlns:c16="http://schemas.microsoft.com/office/drawing/2014/chart" uri="{C3380CC4-5D6E-409C-BE32-E72D297353CC}">
              <c16:uniqueId val="{00000000-8A23-45D4-A3DF-AD76D95147E3}"/>
            </c:ext>
          </c:extLst>
        </c:ser>
        <c:dLbls>
          <c:dLblPos val="outEnd"/>
          <c:showLegendKey val="0"/>
          <c:showVal val="1"/>
          <c:showCatName val="0"/>
          <c:showSerName val="0"/>
          <c:showPercent val="0"/>
          <c:showBubbleSize val="0"/>
        </c:dLbls>
        <c:gapWidth val="219"/>
        <c:overlap val="-27"/>
        <c:axId val="1230625296"/>
        <c:axId val="1230613296"/>
      </c:barChart>
      <c:catAx>
        <c:axId val="1230625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230613296"/>
        <c:crosses val="autoZero"/>
        <c:auto val="1"/>
        <c:lblAlgn val="ctr"/>
        <c:lblOffset val="100"/>
        <c:noMultiLvlLbl val="0"/>
      </c:catAx>
      <c:valAx>
        <c:axId val="1230613296"/>
        <c:scaling>
          <c:orientation val="minMax"/>
        </c:scaling>
        <c:delete val="1"/>
        <c:axPos val="l"/>
        <c:numFmt formatCode="General" sourceLinked="1"/>
        <c:majorTickMark val="out"/>
        <c:minorTickMark val="none"/>
        <c:tickLblPos val="nextTo"/>
        <c:crossAx val="123062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89080669552068"/>
          <c:y val="0.12199878861296184"/>
          <c:w val="0.74177504302028474"/>
          <c:h val="0.61557363416293176"/>
        </c:manualLayout>
      </c:layout>
      <c:barChart>
        <c:barDir val="bar"/>
        <c:grouping val="clustered"/>
        <c:varyColors val="0"/>
        <c:ser>
          <c:idx val="0"/>
          <c:order val="0"/>
          <c:tx>
            <c:strRef>
              <c:f>analysis!$H$27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analysis!$G$28:$G$38</c:f>
              <c:strCache>
                <c:ptCount val="10"/>
                <c:pt idx="0">
                  <c:v>التجمع الخامس</c:v>
                </c:pt>
                <c:pt idx="1">
                  <c:v>مصر الجديده</c:v>
                </c:pt>
                <c:pt idx="2">
                  <c:v> اكتوبر </c:v>
                </c:pt>
                <c:pt idx="3">
                  <c:v>القناطر</c:v>
                </c:pt>
                <c:pt idx="4">
                  <c:v>العباسيه</c:v>
                </c:pt>
                <c:pt idx="5">
                  <c:v>المعادى</c:v>
                </c:pt>
                <c:pt idx="6">
                  <c:v>السويس</c:v>
                </c:pt>
                <c:pt idx="7">
                  <c:v>المقطم</c:v>
                </c:pt>
                <c:pt idx="8">
                  <c:v>الشروق</c:v>
                </c:pt>
                <c:pt idx="9">
                  <c:v>العين السخنه</c:v>
                </c:pt>
              </c:strCache>
            </c:strRef>
          </c:cat>
          <c:val>
            <c:numRef>
              <c:f>analysis!$H$28:$H$38</c:f>
              <c:numCache>
                <c:formatCode>General</c:formatCode>
                <c:ptCount val="10"/>
                <c:pt idx="0">
                  <c:v>18</c:v>
                </c:pt>
                <c:pt idx="1">
                  <c:v>17</c:v>
                </c:pt>
                <c:pt idx="2">
                  <c:v>16</c:v>
                </c:pt>
                <c:pt idx="3">
                  <c:v>10</c:v>
                </c:pt>
                <c:pt idx="4">
                  <c:v>9</c:v>
                </c:pt>
                <c:pt idx="5">
                  <c:v>7</c:v>
                </c:pt>
                <c:pt idx="6">
                  <c:v>4</c:v>
                </c:pt>
                <c:pt idx="7">
                  <c:v>4</c:v>
                </c:pt>
                <c:pt idx="8">
                  <c:v>4</c:v>
                </c:pt>
                <c:pt idx="9">
                  <c:v>4</c:v>
                </c:pt>
              </c:numCache>
            </c:numRef>
          </c:val>
          <c:extLst>
            <c:ext xmlns:c16="http://schemas.microsoft.com/office/drawing/2014/chart" uri="{C3380CC4-5D6E-409C-BE32-E72D297353CC}">
              <c16:uniqueId val="{00000000-A308-4153-9845-D3DA2A7FF40C}"/>
            </c:ext>
          </c:extLst>
        </c:ser>
        <c:dLbls>
          <c:dLblPos val="outEnd"/>
          <c:showLegendKey val="0"/>
          <c:showVal val="1"/>
          <c:showCatName val="0"/>
          <c:showSerName val="0"/>
          <c:showPercent val="0"/>
          <c:showBubbleSize val="0"/>
        </c:dLbls>
        <c:gapWidth val="219"/>
        <c:axId val="1230609456"/>
        <c:axId val="1230620016"/>
      </c:barChart>
      <c:catAx>
        <c:axId val="123060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0620016"/>
        <c:crosses val="autoZero"/>
        <c:auto val="1"/>
        <c:lblAlgn val="ctr"/>
        <c:lblOffset val="100"/>
        <c:noMultiLvlLbl val="0"/>
      </c:catAx>
      <c:valAx>
        <c:axId val="1230620016"/>
        <c:scaling>
          <c:orientation val="minMax"/>
        </c:scaling>
        <c:delete val="1"/>
        <c:axPos val="b"/>
        <c:numFmt formatCode="General" sourceLinked="1"/>
        <c:majorTickMark val="none"/>
        <c:minorTickMark val="none"/>
        <c:tickLblPos val="nextTo"/>
        <c:crossAx val="12306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Khadija Ahmed ALsayed f - Copy.xlsx]analysis!PivotTable13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8.0080080080081554E-3"/>
              <c:y val="-0.103975535168195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8.0080080080080079E-3"/>
              <c:y val="-4.2813455657492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4.0040040040039302E-3"/>
              <c:y val="-8.56269113149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layout>
            <c:manualLayout>
              <c:x val="4.004004004004004E-3"/>
              <c:y val="-3.6697247706422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4.8929663608562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layout>
            <c:manualLayout>
              <c:x val="0"/>
              <c:y val="-0.11009174311926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4.0040040040040404E-3"/>
              <c:y val="-9.17431192660550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51927518069259E-2"/>
          <c:y val="3.5698014163323931E-2"/>
          <c:w val="0.88139808146757459"/>
          <c:h val="0.61334630923943501"/>
        </c:manualLayout>
      </c:layout>
      <c:barChart>
        <c:barDir val="col"/>
        <c:grouping val="clustered"/>
        <c:varyColors val="0"/>
        <c:ser>
          <c:idx val="0"/>
          <c:order val="0"/>
          <c:tx>
            <c:strRef>
              <c:f>analysis!$H$92</c:f>
              <c:strCache>
                <c:ptCount val="1"/>
                <c:pt idx="0">
                  <c:v>Total</c:v>
                </c:pt>
              </c:strCache>
            </c:strRef>
          </c:tx>
          <c:spPr>
            <a:solidFill>
              <a:srgbClr val="C00000"/>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6-79FC-4F94-B1AB-977401C52BC7}"/>
              </c:ext>
            </c:extLst>
          </c:dPt>
          <c:dPt>
            <c:idx val="2"/>
            <c:invertIfNegative val="0"/>
            <c:bubble3D val="0"/>
            <c:spPr>
              <a:solidFill>
                <a:srgbClr val="C00000"/>
              </a:solidFill>
              <a:ln>
                <a:noFill/>
              </a:ln>
              <a:effectLst/>
            </c:spPr>
            <c:extLst>
              <c:ext xmlns:c16="http://schemas.microsoft.com/office/drawing/2014/chart" uri="{C3380CC4-5D6E-409C-BE32-E72D297353CC}">
                <c16:uniqueId val="{00000007-79FC-4F94-B1AB-977401C52BC7}"/>
              </c:ext>
            </c:extLst>
          </c:dPt>
          <c:dPt>
            <c:idx val="3"/>
            <c:invertIfNegative val="0"/>
            <c:bubble3D val="0"/>
            <c:spPr>
              <a:solidFill>
                <a:srgbClr val="C00000"/>
              </a:solidFill>
              <a:ln>
                <a:noFill/>
              </a:ln>
              <a:effectLst/>
            </c:spPr>
            <c:extLst>
              <c:ext xmlns:c16="http://schemas.microsoft.com/office/drawing/2014/chart" uri="{C3380CC4-5D6E-409C-BE32-E72D297353CC}">
                <c16:uniqueId val="{00000005-79FC-4F94-B1AB-977401C52BC7}"/>
              </c:ext>
            </c:extLst>
          </c:dPt>
          <c:dPt>
            <c:idx val="4"/>
            <c:invertIfNegative val="0"/>
            <c:bubble3D val="0"/>
            <c:spPr>
              <a:solidFill>
                <a:srgbClr val="C00000"/>
              </a:solidFill>
              <a:ln>
                <a:noFill/>
              </a:ln>
              <a:effectLst/>
            </c:spPr>
            <c:extLst>
              <c:ext xmlns:c16="http://schemas.microsoft.com/office/drawing/2014/chart" uri="{C3380CC4-5D6E-409C-BE32-E72D297353CC}">
                <c16:uniqueId val="{00000004-79FC-4F94-B1AB-977401C52BC7}"/>
              </c:ext>
            </c:extLst>
          </c:dPt>
          <c:dPt>
            <c:idx val="5"/>
            <c:invertIfNegative val="0"/>
            <c:bubble3D val="0"/>
            <c:spPr>
              <a:solidFill>
                <a:srgbClr val="C00000"/>
              </a:solidFill>
              <a:ln>
                <a:noFill/>
              </a:ln>
              <a:effectLst/>
            </c:spPr>
            <c:extLst>
              <c:ext xmlns:c16="http://schemas.microsoft.com/office/drawing/2014/chart" uri="{C3380CC4-5D6E-409C-BE32-E72D297353CC}">
                <c16:uniqueId val="{00000003-79FC-4F94-B1AB-977401C52BC7}"/>
              </c:ext>
            </c:extLst>
          </c:dPt>
          <c:dPt>
            <c:idx val="6"/>
            <c:invertIfNegative val="0"/>
            <c:bubble3D val="0"/>
            <c:spPr>
              <a:solidFill>
                <a:srgbClr val="C00000"/>
              </a:solidFill>
              <a:ln>
                <a:noFill/>
              </a:ln>
              <a:effectLst/>
            </c:spPr>
            <c:extLst>
              <c:ext xmlns:c16="http://schemas.microsoft.com/office/drawing/2014/chart" uri="{C3380CC4-5D6E-409C-BE32-E72D297353CC}">
                <c16:uniqueId val="{00000002-79FC-4F94-B1AB-977401C52BC7}"/>
              </c:ext>
            </c:extLst>
          </c:dPt>
          <c:dPt>
            <c:idx val="7"/>
            <c:invertIfNegative val="0"/>
            <c:bubble3D val="0"/>
            <c:spPr>
              <a:solidFill>
                <a:srgbClr val="C00000"/>
              </a:solidFill>
              <a:ln>
                <a:noFill/>
              </a:ln>
              <a:effectLst/>
            </c:spPr>
            <c:extLst>
              <c:ext xmlns:c16="http://schemas.microsoft.com/office/drawing/2014/chart" uri="{C3380CC4-5D6E-409C-BE32-E72D297353CC}">
                <c16:uniqueId val="{00000001-79FC-4F94-B1AB-977401C52BC7}"/>
              </c:ext>
            </c:extLst>
          </c:dPt>
          <c:dLbls>
            <c:dLbl>
              <c:idx val="1"/>
              <c:layout>
                <c:manualLayout>
                  <c:x val="0"/>
                  <c:y val="-0.110091743119266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FC-4F94-B1AB-977401C52BC7}"/>
                </c:ext>
              </c:extLst>
            </c:dLbl>
            <c:dLbl>
              <c:idx val="2"/>
              <c:layout>
                <c:manualLayout>
                  <c:x val="-4.0040040040040404E-3"/>
                  <c:y val="-9.17431192660550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FC-4F94-B1AB-977401C52BC7}"/>
                </c:ext>
              </c:extLst>
            </c:dLbl>
            <c:dLbl>
              <c:idx val="3"/>
              <c:layout>
                <c:manualLayout>
                  <c:x val="0"/>
                  <c:y val="-4.89296636085627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FC-4F94-B1AB-977401C52BC7}"/>
                </c:ext>
              </c:extLst>
            </c:dLbl>
            <c:dLbl>
              <c:idx val="4"/>
              <c:layout>
                <c:manualLayout>
                  <c:x val="4.004004004004004E-3"/>
                  <c:y val="-3.66972477064221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FC-4F94-B1AB-977401C52BC7}"/>
                </c:ext>
              </c:extLst>
            </c:dLbl>
            <c:dLbl>
              <c:idx val="5"/>
              <c:layout>
                <c:manualLayout>
                  <c:x val="4.0040040040039302E-3"/>
                  <c:y val="-8.562691131498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FC-4F94-B1AB-977401C52BC7}"/>
                </c:ext>
              </c:extLst>
            </c:dLbl>
            <c:dLbl>
              <c:idx val="6"/>
              <c:layout>
                <c:manualLayout>
                  <c:x val="8.0080080080080079E-3"/>
                  <c:y val="-4.28134556574923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FC-4F94-B1AB-977401C52BC7}"/>
                </c:ext>
              </c:extLst>
            </c:dLbl>
            <c:dLbl>
              <c:idx val="7"/>
              <c:layout>
                <c:manualLayout>
                  <c:x val="-8.0080080080081554E-3"/>
                  <c:y val="-0.103975535168195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FC-4F94-B1AB-977401C52B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analysis!$G$93:$G$101</c:f>
              <c:strCache>
                <c:ptCount val="8"/>
                <c:pt idx="0">
                  <c:v>هومزمارت</c:v>
                </c:pt>
                <c:pt idx="1">
                  <c:v>شيك هومز</c:v>
                </c:pt>
                <c:pt idx="2">
                  <c:v>اوسكار ريتن </c:v>
                </c:pt>
                <c:pt idx="3">
                  <c:v>تاكى</c:v>
                </c:pt>
                <c:pt idx="4">
                  <c:v>السويس</c:v>
                </c:pt>
                <c:pt idx="5">
                  <c:v>فيسبوك</c:v>
                </c:pt>
                <c:pt idx="6">
                  <c:v>منزلى</c:v>
                </c:pt>
                <c:pt idx="7">
                  <c:v>كينج</c:v>
                </c:pt>
              </c:strCache>
            </c:strRef>
          </c:cat>
          <c:val>
            <c:numRef>
              <c:f>analysis!$H$93:$H$101</c:f>
              <c:numCache>
                <c:formatCode>_(* #,##0_);_(* \(#,##0\);_(* "-"??_);_(@_)</c:formatCode>
                <c:ptCount val="8"/>
                <c:pt idx="0">
                  <c:v>869268</c:v>
                </c:pt>
                <c:pt idx="1">
                  <c:v>194340</c:v>
                </c:pt>
                <c:pt idx="2">
                  <c:v>68731.91</c:v>
                </c:pt>
                <c:pt idx="3">
                  <c:v>66900</c:v>
                </c:pt>
                <c:pt idx="4">
                  <c:v>37062</c:v>
                </c:pt>
                <c:pt idx="5">
                  <c:v>27450</c:v>
                </c:pt>
                <c:pt idx="6">
                  <c:v>9655</c:v>
                </c:pt>
                <c:pt idx="7">
                  <c:v>7396</c:v>
                </c:pt>
              </c:numCache>
            </c:numRef>
          </c:val>
          <c:extLst>
            <c:ext xmlns:c16="http://schemas.microsoft.com/office/drawing/2014/chart" uri="{C3380CC4-5D6E-409C-BE32-E72D297353CC}">
              <c16:uniqueId val="{00000000-79FC-4F94-B1AB-977401C52BC7}"/>
            </c:ext>
          </c:extLst>
        </c:ser>
        <c:dLbls>
          <c:dLblPos val="outEnd"/>
          <c:showLegendKey val="0"/>
          <c:showVal val="1"/>
          <c:showCatName val="0"/>
          <c:showSerName val="0"/>
          <c:showPercent val="0"/>
          <c:showBubbleSize val="0"/>
        </c:dLbls>
        <c:gapWidth val="219"/>
        <c:overlap val="-27"/>
        <c:axId val="1503562959"/>
        <c:axId val="1503569679"/>
      </c:barChart>
      <c:catAx>
        <c:axId val="15035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3569679"/>
        <c:crosses val="autoZero"/>
        <c:auto val="1"/>
        <c:lblAlgn val="ctr"/>
        <c:lblOffset val="100"/>
        <c:noMultiLvlLbl val="0"/>
      </c:catAx>
      <c:valAx>
        <c:axId val="1503569679"/>
        <c:scaling>
          <c:orientation val="minMax"/>
        </c:scaling>
        <c:delete val="1"/>
        <c:axPos val="l"/>
        <c:numFmt formatCode="_(* #,##0_);_(* \(#,##0\);_(* &quot;-&quot;??_);_(@_)" sourceLinked="1"/>
        <c:majorTickMark val="none"/>
        <c:minorTickMark val="none"/>
        <c:tickLblPos val="nextTo"/>
        <c:crossAx val="15035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342900</xdr:colOff>
      <xdr:row>7</xdr:row>
      <xdr:rowOff>328612</xdr:rowOff>
    </xdr:from>
    <xdr:to>
      <xdr:col>10</xdr:col>
      <xdr:colOff>114300</xdr:colOff>
      <xdr:row>21</xdr:row>
      <xdr:rowOff>61912</xdr:rowOff>
    </xdr:to>
    <xdr:graphicFrame macro="">
      <xdr:nvGraphicFramePr>
        <xdr:cNvPr id="5" name="Chart 4">
          <a:extLst>
            <a:ext uri="{FF2B5EF4-FFF2-40B4-BE49-F238E27FC236}">
              <a16:creationId xmlns:a16="http://schemas.microsoft.com/office/drawing/2014/main" id="{365D32DA-9CB5-7364-9E0A-EF33E694A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38</xdr:row>
      <xdr:rowOff>119062</xdr:rowOff>
    </xdr:from>
    <xdr:to>
      <xdr:col>10</xdr:col>
      <xdr:colOff>676275</xdr:colOff>
      <xdr:row>56</xdr:row>
      <xdr:rowOff>85725</xdr:rowOff>
    </xdr:to>
    <xdr:graphicFrame macro="">
      <xdr:nvGraphicFramePr>
        <xdr:cNvPr id="6" name="Chart 5">
          <a:extLst>
            <a:ext uri="{FF2B5EF4-FFF2-40B4-BE49-F238E27FC236}">
              <a16:creationId xmlns:a16="http://schemas.microsoft.com/office/drawing/2014/main" id="{FBCAC2B9-D4CB-62AA-C620-FDCF3E820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171450</xdr:colOff>
      <xdr:row>70</xdr:row>
      <xdr:rowOff>109537</xdr:rowOff>
    </xdr:from>
    <xdr:to>
      <xdr:col>10</xdr:col>
      <xdr:colOff>409575</xdr:colOff>
      <xdr:row>83</xdr:row>
      <xdr:rowOff>19050</xdr:rowOff>
    </xdr:to>
    <xdr:graphicFrame macro="">
      <xdr:nvGraphicFramePr>
        <xdr:cNvPr id="7" name="Chart 6">
          <a:extLst>
            <a:ext uri="{FF2B5EF4-FFF2-40B4-BE49-F238E27FC236}">
              <a16:creationId xmlns:a16="http://schemas.microsoft.com/office/drawing/2014/main" id="{6AE5DBB5-6B93-8516-8084-8A1742DA5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171450</xdr:colOff>
      <xdr:row>101</xdr:row>
      <xdr:rowOff>71437</xdr:rowOff>
    </xdr:from>
    <xdr:to>
      <xdr:col>10</xdr:col>
      <xdr:colOff>0</xdr:colOff>
      <xdr:row>115</xdr:row>
      <xdr:rowOff>147637</xdr:rowOff>
    </xdr:to>
    <xdr:graphicFrame macro="">
      <xdr:nvGraphicFramePr>
        <xdr:cNvPr id="8" name="Chart 7">
          <a:extLst>
            <a:ext uri="{FF2B5EF4-FFF2-40B4-BE49-F238E27FC236}">
              <a16:creationId xmlns:a16="http://schemas.microsoft.com/office/drawing/2014/main" id="{67B05B23-A6A9-C08A-AE19-F2C0BD3F3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285750</xdr:colOff>
      <xdr:row>127</xdr:row>
      <xdr:rowOff>90487</xdr:rowOff>
    </xdr:from>
    <xdr:to>
      <xdr:col>10</xdr:col>
      <xdr:colOff>409575</xdr:colOff>
      <xdr:row>141</xdr:row>
      <xdr:rowOff>166687</xdr:rowOff>
    </xdr:to>
    <xdr:graphicFrame macro="">
      <xdr:nvGraphicFramePr>
        <xdr:cNvPr id="10" name="Chart 9">
          <a:extLst>
            <a:ext uri="{FF2B5EF4-FFF2-40B4-BE49-F238E27FC236}">
              <a16:creationId xmlns:a16="http://schemas.microsoft.com/office/drawing/2014/main" id="{BED565EA-2E56-DB38-4EB5-ADB485242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219075</xdr:colOff>
      <xdr:row>73</xdr:row>
      <xdr:rowOff>147637</xdr:rowOff>
    </xdr:from>
    <xdr:to>
      <xdr:col>19</xdr:col>
      <xdr:colOff>476250</xdr:colOff>
      <xdr:row>88</xdr:row>
      <xdr:rowOff>33337</xdr:rowOff>
    </xdr:to>
    <xdr:graphicFrame macro="">
      <xdr:nvGraphicFramePr>
        <xdr:cNvPr id="2" name="Chart 1">
          <a:extLst>
            <a:ext uri="{FF2B5EF4-FFF2-40B4-BE49-F238E27FC236}">
              <a16:creationId xmlns:a16="http://schemas.microsoft.com/office/drawing/2014/main" id="{EE02671D-88DC-138E-AB60-66615B7D9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600075</xdr:colOff>
      <xdr:row>11</xdr:row>
      <xdr:rowOff>185737</xdr:rowOff>
    </xdr:from>
    <xdr:to>
      <xdr:col>19</xdr:col>
      <xdr:colOff>552450</xdr:colOff>
      <xdr:row>24</xdr:row>
      <xdr:rowOff>109537</xdr:rowOff>
    </xdr:to>
    <xdr:graphicFrame macro="">
      <xdr:nvGraphicFramePr>
        <xdr:cNvPr id="3" name="Chart 2">
          <a:extLst>
            <a:ext uri="{FF2B5EF4-FFF2-40B4-BE49-F238E27FC236}">
              <a16:creationId xmlns:a16="http://schemas.microsoft.com/office/drawing/2014/main" id="{DAB5E180-762D-FE57-457B-96EEB2BB5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0</xdr:row>
      <xdr:rowOff>19050</xdr:rowOff>
    </xdr:from>
    <xdr:to>
      <xdr:col>16</xdr:col>
      <xdr:colOff>28575</xdr:colOff>
      <xdr:row>2</xdr:row>
      <xdr:rowOff>104775</xdr:rowOff>
    </xdr:to>
    <xdr:sp macro="" textlink="">
      <xdr:nvSpPr>
        <xdr:cNvPr id="2" name="Rectangle: Rounded Corners 1">
          <a:extLst>
            <a:ext uri="{FF2B5EF4-FFF2-40B4-BE49-F238E27FC236}">
              <a16:creationId xmlns:a16="http://schemas.microsoft.com/office/drawing/2014/main" id="{ED7E889B-6FAA-B679-63CE-4E4151C9FA3D}"/>
            </a:ext>
          </a:extLst>
        </xdr:cNvPr>
        <xdr:cNvSpPr/>
      </xdr:nvSpPr>
      <xdr:spPr>
        <a:xfrm>
          <a:off x="3000375" y="19050"/>
          <a:ext cx="6781800" cy="466725"/>
        </a:xfrm>
        <a:prstGeom prst="roundRect">
          <a:avLst>
            <a:gd name="adj" fmla="val 38333"/>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66675</xdr:colOff>
      <xdr:row>0</xdr:row>
      <xdr:rowOff>57151</xdr:rowOff>
    </xdr:from>
    <xdr:to>
      <xdr:col>7</xdr:col>
      <xdr:colOff>400050</xdr:colOff>
      <xdr:row>2</xdr:row>
      <xdr:rowOff>95251</xdr:rowOff>
    </xdr:to>
    <xdr:pic>
      <xdr:nvPicPr>
        <xdr:cNvPr id="5" name="Picture 4">
          <a:extLst>
            <a:ext uri="{FF2B5EF4-FFF2-40B4-BE49-F238E27FC236}">
              <a16:creationId xmlns:a16="http://schemas.microsoft.com/office/drawing/2014/main" id="{A916A0C0-FA6A-2A34-CF0A-E6281A31E437}"/>
            </a:ext>
          </a:extLst>
        </xdr:cNvPr>
        <xdr:cNvPicPr>
          <a:picLocks noChangeAspect="1"/>
        </xdr:cNvPicPr>
      </xdr:nvPicPr>
      <xdr:blipFill>
        <a:blip xmlns:r="http://schemas.openxmlformats.org/officeDocument/2006/relationships" r:embed="rId1"/>
        <a:stretch>
          <a:fillRect/>
        </a:stretch>
      </xdr:blipFill>
      <xdr:spPr>
        <a:xfrm>
          <a:off x="3114675" y="57151"/>
          <a:ext cx="1552575" cy="419100"/>
        </a:xfrm>
        <a:prstGeom prst="rect">
          <a:avLst/>
        </a:prstGeom>
      </xdr:spPr>
    </xdr:pic>
    <xdr:clientData/>
  </xdr:twoCellAnchor>
  <xdr:oneCellAnchor>
    <xdr:from>
      <xdr:col>7</xdr:col>
      <xdr:colOff>419100</xdr:colOff>
      <xdr:row>0</xdr:row>
      <xdr:rowOff>9525</xdr:rowOff>
    </xdr:from>
    <xdr:ext cx="3486150" cy="504177"/>
    <xdr:sp macro="" textlink="">
      <xdr:nvSpPr>
        <xdr:cNvPr id="8" name="TextBox 7">
          <a:extLst>
            <a:ext uri="{FF2B5EF4-FFF2-40B4-BE49-F238E27FC236}">
              <a16:creationId xmlns:a16="http://schemas.microsoft.com/office/drawing/2014/main" id="{52DFB7D8-CBC6-10E8-9BE5-3B73410E14F5}"/>
            </a:ext>
          </a:extLst>
        </xdr:cNvPr>
        <xdr:cNvSpPr txBox="1"/>
      </xdr:nvSpPr>
      <xdr:spPr>
        <a:xfrm>
          <a:off x="4686300" y="9525"/>
          <a:ext cx="3486150" cy="504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bg1"/>
              </a:solidFill>
              <a:latin typeface="Californian FB" panose="0207040306080B030204" pitchFamily="18" charset="0"/>
            </a:rPr>
            <a:t>MISUO Dashboard</a:t>
          </a:r>
        </a:p>
      </xdr:txBody>
    </xdr:sp>
    <xdr:clientData/>
  </xdr:oneCellAnchor>
  <xdr:twoCellAnchor>
    <xdr:from>
      <xdr:col>3</xdr:col>
      <xdr:colOff>76199</xdr:colOff>
      <xdr:row>2</xdr:row>
      <xdr:rowOff>142875</xdr:rowOff>
    </xdr:from>
    <xdr:to>
      <xdr:col>18</xdr:col>
      <xdr:colOff>133350</xdr:colOff>
      <xdr:row>6</xdr:row>
      <xdr:rowOff>85724</xdr:rowOff>
    </xdr:to>
    <xdr:sp macro="" textlink="">
      <xdr:nvSpPr>
        <xdr:cNvPr id="9" name="Rectangle: Rounded Corners 8">
          <a:extLst>
            <a:ext uri="{FF2B5EF4-FFF2-40B4-BE49-F238E27FC236}">
              <a16:creationId xmlns:a16="http://schemas.microsoft.com/office/drawing/2014/main" id="{452183BA-4804-B16B-540A-315B7248817D}"/>
            </a:ext>
          </a:extLst>
        </xdr:cNvPr>
        <xdr:cNvSpPr/>
      </xdr:nvSpPr>
      <xdr:spPr>
        <a:xfrm>
          <a:off x="1904999" y="523875"/>
          <a:ext cx="9201151" cy="704849"/>
        </a:xfrm>
        <a:prstGeom prst="roundRect">
          <a:avLst>
            <a:gd name="adj" fmla="val 41667"/>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rgbClr val="140E3D"/>
            </a:solidFill>
          </a:endParaRPr>
        </a:p>
      </xdr:txBody>
    </xdr:sp>
    <xdr:clientData/>
  </xdr:twoCellAnchor>
  <xdr:twoCellAnchor>
    <xdr:from>
      <xdr:col>18</xdr:col>
      <xdr:colOff>552449</xdr:colOff>
      <xdr:row>0</xdr:row>
      <xdr:rowOff>85727</xdr:rowOff>
    </xdr:from>
    <xdr:to>
      <xdr:col>20</xdr:col>
      <xdr:colOff>323850</xdr:colOff>
      <xdr:row>20</xdr:row>
      <xdr:rowOff>152401</xdr:rowOff>
    </xdr:to>
    <xdr:sp macro="" textlink="">
      <xdr:nvSpPr>
        <xdr:cNvPr id="10" name="Rectangle: Rounded Corners 9">
          <a:extLst>
            <a:ext uri="{FF2B5EF4-FFF2-40B4-BE49-F238E27FC236}">
              <a16:creationId xmlns:a16="http://schemas.microsoft.com/office/drawing/2014/main" id="{9722B6FA-921C-495F-AD98-1326175FEC1E}"/>
            </a:ext>
          </a:extLst>
        </xdr:cNvPr>
        <xdr:cNvSpPr/>
      </xdr:nvSpPr>
      <xdr:spPr>
        <a:xfrm>
          <a:off x="11525249" y="85727"/>
          <a:ext cx="990601" cy="3876674"/>
        </a:xfrm>
        <a:prstGeom prst="roundRect">
          <a:avLst>
            <a:gd name="adj" fmla="val 35063"/>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rgbClr val="140E3D"/>
            </a:solidFill>
          </a:endParaRPr>
        </a:p>
      </xdr:txBody>
    </xdr:sp>
    <xdr:clientData/>
  </xdr:twoCellAnchor>
  <xdr:twoCellAnchor>
    <xdr:from>
      <xdr:col>15</xdr:col>
      <xdr:colOff>552449</xdr:colOff>
      <xdr:row>6</xdr:row>
      <xdr:rowOff>114300</xdr:rowOff>
    </xdr:from>
    <xdr:to>
      <xdr:col>18</xdr:col>
      <xdr:colOff>428625</xdr:colOff>
      <xdr:row>10</xdr:row>
      <xdr:rowOff>152400</xdr:rowOff>
    </xdr:to>
    <xdr:sp macro="" textlink="">
      <xdr:nvSpPr>
        <xdr:cNvPr id="11" name="Rectangle: Rounded Corners 10">
          <a:extLst>
            <a:ext uri="{FF2B5EF4-FFF2-40B4-BE49-F238E27FC236}">
              <a16:creationId xmlns:a16="http://schemas.microsoft.com/office/drawing/2014/main" id="{EC40034A-8BC7-4E83-B0F5-7D11D5B729D7}"/>
            </a:ext>
          </a:extLst>
        </xdr:cNvPr>
        <xdr:cNvSpPr/>
      </xdr:nvSpPr>
      <xdr:spPr>
        <a:xfrm>
          <a:off x="9696449" y="1257300"/>
          <a:ext cx="1704976" cy="800100"/>
        </a:xfrm>
        <a:prstGeom prst="roundRect">
          <a:avLst>
            <a:gd name="adj" fmla="val 41667"/>
          </a:avLst>
        </a:prstGeom>
        <a:solidFill>
          <a:srgbClr val="140E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n>
                <a:noFill/>
              </a:ln>
              <a:solidFill>
                <a:schemeClr val="bg1"/>
              </a:solidFill>
              <a:latin typeface="+mn-lt"/>
            </a:rPr>
            <a:t>Total Sales</a:t>
          </a:r>
        </a:p>
      </xdr:txBody>
    </xdr:sp>
    <xdr:clientData/>
  </xdr:twoCellAnchor>
  <xdr:twoCellAnchor>
    <xdr:from>
      <xdr:col>6</xdr:col>
      <xdr:colOff>266699</xdr:colOff>
      <xdr:row>6</xdr:row>
      <xdr:rowOff>123824</xdr:rowOff>
    </xdr:from>
    <xdr:to>
      <xdr:col>9</xdr:col>
      <xdr:colOff>142875</xdr:colOff>
      <xdr:row>10</xdr:row>
      <xdr:rowOff>171449</xdr:rowOff>
    </xdr:to>
    <xdr:sp macro="" textlink="">
      <xdr:nvSpPr>
        <xdr:cNvPr id="12" name="Rectangle: Rounded Corners 11">
          <a:extLst>
            <a:ext uri="{FF2B5EF4-FFF2-40B4-BE49-F238E27FC236}">
              <a16:creationId xmlns:a16="http://schemas.microsoft.com/office/drawing/2014/main" id="{F2FF6B69-B8AD-4D53-9291-B07D318409E1}"/>
            </a:ext>
          </a:extLst>
        </xdr:cNvPr>
        <xdr:cNvSpPr/>
      </xdr:nvSpPr>
      <xdr:spPr>
        <a:xfrm>
          <a:off x="3924299" y="1266824"/>
          <a:ext cx="1704976" cy="809625"/>
        </a:xfrm>
        <a:prstGeom prst="roundRect">
          <a:avLst>
            <a:gd name="adj" fmla="val 41667"/>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n>
                <a:noFill/>
              </a:ln>
              <a:solidFill>
                <a:schemeClr val="bg1"/>
              </a:solidFill>
            </a:rPr>
            <a:t>Avg Selling Price</a:t>
          </a:r>
        </a:p>
      </xdr:txBody>
    </xdr:sp>
    <xdr:clientData/>
  </xdr:twoCellAnchor>
  <xdr:twoCellAnchor>
    <xdr:from>
      <xdr:col>9</xdr:col>
      <xdr:colOff>400049</xdr:colOff>
      <xdr:row>6</xdr:row>
      <xdr:rowOff>123825</xdr:rowOff>
    </xdr:from>
    <xdr:to>
      <xdr:col>12</xdr:col>
      <xdr:colOff>276225</xdr:colOff>
      <xdr:row>10</xdr:row>
      <xdr:rowOff>142875</xdr:rowOff>
    </xdr:to>
    <xdr:sp macro="" textlink="">
      <xdr:nvSpPr>
        <xdr:cNvPr id="13" name="Rectangle: Rounded Corners 12">
          <a:extLst>
            <a:ext uri="{FF2B5EF4-FFF2-40B4-BE49-F238E27FC236}">
              <a16:creationId xmlns:a16="http://schemas.microsoft.com/office/drawing/2014/main" id="{1AFB7A5C-F44F-499C-A154-6C44EC3BA2D6}"/>
            </a:ext>
          </a:extLst>
        </xdr:cNvPr>
        <xdr:cNvSpPr/>
      </xdr:nvSpPr>
      <xdr:spPr>
        <a:xfrm>
          <a:off x="5886449" y="1266825"/>
          <a:ext cx="1704976" cy="781050"/>
        </a:xfrm>
        <a:prstGeom prst="roundRect">
          <a:avLst>
            <a:gd name="adj" fmla="val 41667"/>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n>
                <a:noFill/>
              </a:ln>
              <a:solidFill>
                <a:schemeClr val="bg1"/>
              </a:solidFill>
            </a:rPr>
            <a:t>No.</a:t>
          </a:r>
          <a:r>
            <a:rPr lang="en-US" sz="1400" b="1" baseline="0">
              <a:ln>
                <a:noFill/>
              </a:ln>
              <a:solidFill>
                <a:schemeClr val="bg1"/>
              </a:solidFill>
            </a:rPr>
            <a:t> </a:t>
          </a:r>
          <a:r>
            <a:rPr lang="en-US" sz="1400" b="1">
              <a:ln>
                <a:noFill/>
              </a:ln>
              <a:solidFill>
                <a:schemeClr val="bg1"/>
              </a:solidFill>
            </a:rPr>
            <a:t>Individuals &amp; Companies</a:t>
          </a:r>
        </a:p>
      </xdr:txBody>
    </xdr:sp>
    <xdr:clientData/>
  </xdr:twoCellAnchor>
  <xdr:twoCellAnchor>
    <xdr:from>
      <xdr:col>12</xdr:col>
      <xdr:colOff>457199</xdr:colOff>
      <xdr:row>6</xdr:row>
      <xdr:rowOff>114300</xdr:rowOff>
    </xdr:from>
    <xdr:to>
      <xdr:col>15</xdr:col>
      <xdr:colOff>333375</xdr:colOff>
      <xdr:row>10</xdr:row>
      <xdr:rowOff>133350</xdr:rowOff>
    </xdr:to>
    <xdr:sp macro="" textlink="">
      <xdr:nvSpPr>
        <xdr:cNvPr id="14" name="Rectangle: Rounded Corners 13">
          <a:extLst>
            <a:ext uri="{FF2B5EF4-FFF2-40B4-BE49-F238E27FC236}">
              <a16:creationId xmlns:a16="http://schemas.microsoft.com/office/drawing/2014/main" id="{C7063484-8A88-4446-B889-16E8BE324057}"/>
            </a:ext>
          </a:extLst>
        </xdr:cNvPr>
        <xdr:cNvSpPr/>
      </xdr:nvSpPr>
      <xdr:spPr>
        <a:xfrm>
          <a:off x="7772399" y="1257300"/>
          <a:ext cx="1704976" cy="781050"/>
        </a:xfrm>
        <a:prstGeom prst="roundRect">
          <a:avLst>
            <a:gd name="adj" fmla="val 41667"/>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900" b="1">
              <a:ln>
                <a:noFill/>
              </a:ln>
              <a:solidFill>
                <a:schemeClr val="bg1"/>
              </a:solidFill>
            </a:rPr>
            <a:t>Total Orders</a:t>
          </a:r>
        </a:p>
      </xdr:txBody>
    </xdr:sp>
    <xdr:clientData/>
  </xdr:twoCellAnchor>
  <xdr:twoCellAnchor>
    <xdr:from>
      <xdr:col>3</xdr:col>
      <xdr:colOff>171449</xdr:colOff>
      <xdr:row>6</xdr:row>
      <xdr:rowOff>123824</xdr:rowOff>
    </xdr:from>
    <xdr:to>
      <xdr:col>6</xdr:col>
      <xdr:colOff>47625</xdr:colOff>
      <xdr:row>10</xdr:row>
      <xdr:rowOff>171449</xdr:rowOff>
    </xdr:to>
    <xdr:sp macro="" textlink="">
      <xdr:nvSpPr>
        <xdr:cNvPr id="15" name="Rectangle: Rounded Corners 14">
          <a:extLst>
            <a:ext uri="{FF2B5EF4-FFF2-40B4-BE49-F238E27FC236}">
              <a16:creationId xmlns:a16="http://schemas.microsoft.com/office/drawing/2014/main" id="{AAA2547B-7899-4CFC-A9AF-EC730599A8CC}"/>
            </a:ext>
          </a:extLst>
        </xdr:cNvPr>
        <xdr:cNvSpPr/>
      </xdr:nvSpPr>
      <xdr:spPr>
        <a:xfrm>
          <a:off x="2000249" y="1266824"/>
          <a:ext cx="1704976" cy="809625"/>
        </a:xfrm>
        <a:prstGeom prst="roundRect">
          <a:avLst>
            <a:gd name="adj" fmla="val 41667"/>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n>
                <a:noFill/>
              </a:ln>
              <a:solidFill>
                <a:schemeClr val="bg1"/>
              </a:solidFill>
            </a:rPr>
            <a:t>Canceled Orders</a:t>
          </a:r>
          <a:r>
            <a:rPr lang="en-US" sz="1400" b="1" baseline="0">
              <a:ln>
                <a:noFill/>
              </a:ln>
              <a:solidFill>
                <a:schemeClr val="bg1"/>
              </a:solidFill>
            </a:rPr>
            <a:t> Rate</a:t>
          </a:r>
          <a:endParaRPr lang="en-US" sz="1400" b="1">
            <a:ln>
              <a:noFill/>
            </a:ln>
            <a:solidFill>
              <a:schemeClr val="bg1"/>
            </a:solidFill>
          </a:endParaRPr>
        </a:p>
      </xdr:txBody>
    </xdr:sp>
    <xdr:clientData/>
  </xdr:twoCellAnchor>
  <xdr:twoCellAnchor>
    <xdr:from>
      <xdr:col>13</xdr:col>
      <xdr:colOff>438150</xdr:colOff>
      <xdr:row>10</xdr:row>
      <xdr:rowOff>171450</xdr:rowOff>
    </xdr:from>
    <xdr:to>
      <xdr:col>18</xdr:col>
      <xdr:colOff>514349</xdr:colOff>
      <xdr:row>21</xdr:row>
      <xdr:rowOff>28575</xdr:rowOff>
    </xdr:to>
    <xdr:sp macro="" textlink="">
      <xdr:nvSpPr>
        <xdr:cNvPr id="16" name="Rectangle: Rounded Corners 15">
          <a:extLst>
            <a:ext uri="{FF2B5EF4-FFF2-40B4-BE49-F238E27FC236}">
              <a16:creationId xmlns:a16="http://schemas.microsoft.com/office/drawing/2014/main" id="{4940F946-B411-48F7-B064-9B6E6BE49629}"/>
            </a:ext>
          </a:extLst>
        </xdr:cNvPr>
        <xdr:cNvSpPr/>
      </xdr:nvSpPr>
      <xdr:spPr>
        <a:xfrm>
          <a:off x="8362950" y="2076450"/>
          <a:ext cx="3124199" cy="1952625"/>
        </a:xfrm>
        <a:prstGeom prst="roundRect">
          <a:avLst>
            <a:gd name="adj" fmla="val 22778"/>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n>
                <a:noFill/>
              </a:ln>
              <a:solidFill>
                <a:schemeClr val="bg1"/>
              </a:solidFill>
            </a:rPr>
            <a:t>Best</a:t>
          </a:r>
          <a:r>
            <a:rPr lang="en-US" sz="1800" b="1" baseline="0">
              <a:ln>
                <a:noFill/>
              </a:ln>
              <a:solidFill>
                <a:schemeClr val="bg1"/>
              </a:solidFill>
            </a:rPr>
            <a:t> Sellers</a:t>
          </a:r>
          <a:endParaRPr lang="en-US" sz="1800" b="1">
            <a:ln>
              <a:noFill/>
            </a:ln>
            <a:solidFill>
              <a:schemeClr val="bg1"/>
            </a:solidFill>
          </a:endParaRPr>
        </a:p>
      </xdr:txBody>
    </xdr:sp>
    <xdr:clientData/>
  </xdr:twoCellAnchor>
  <xdr:twoCellAnchor>
    <xdr:from>
      <xdr:col>8</xdr:col>
      <xdr:colOff>285750</xdr:colOff>
      <xdr:row>11</xdr:row>
      <xdr:rowOff>9525</xdr:rowOff>
    </xdr:from>
    <xdr:to>
      <xdr:col>13</xdr:col>
      <xdr:colOff>361949</xdr:colOff>
      <xdr:row>21</xdr:row>
      <xdr:rowOff>57150</xdr:rowOff>
    </xdr:to>
    <xdr:sp macro="" textlink="">
      <xdr:nvSpPr>
        <xdr:cNvPr id="18" name="Rectangle: Rounded Corners 17">
          <a:extLst>
            <a:ext uri="{FF2B5EF4-FFF2-40B4-BE49-F238E27FC236}">
              <a16:creationId xmlns:a16="http://schemas.microsoft.com/office/drawing/2014/main" id="{B6C40FCD-5686-4C95-8226-57467D694CB4}"/>
            </a:ext>
          </a:extLst>
        </xdr:cNvPr>
        <xdr:cNvSpPr/>
      </xdr:nvSpPr>
      <xdr:spPr>
        <a:xfrm>
          <a:off x="5162550" y="2105025"/>
          <a:ext cx="3124199" cy="1952625"/>
        </a:xfrm>
        <a:prstGeom prst="roundRect">
          <a:avLst>
            <a:gd name="adj" fmla="val 22778"/>
          </a:avLst>
        </a:prstGeom>
        <a:solidFill>
          <a:srgbClr val="140E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n>
                <a:noFill/>
              </a:ln>
              <a:solidFill>
                <a:schemeClr val="bg1"/>
              </a:solidFill>
            </a:rPr>
            <a:t>Sales By Platforn</a:t>
          </a:r>
        </a:p>
      </xdr:txBody>
    </xdr:sp>
    <xdr:clientData/>
  </xdr:twoCellAnchor>
  <xdr:twoCellAnchor>
    <xdr:from>
      <xdr:col>0</xdr:col>
      <xdr:colOff>47625</xdr:colOff>
      <xdr:row>1</xdr:row>
      <xdr:rowOff>76199</xdr:rowOff>
    </xdr:from>
    <xdr:to>
      <xdr:col>3</xdr:col>
      <xdr:colOff>9525</xdr:colOff>
      <xdr:row>10</xdr:row>
      <xdr:rowOff>85724</xdr:rowOff>
    </xdr:to>
    <xdr:sp macro="" textlink="">
      <xdr:nvSpPr>
        <xdr:cNvPr id="19" name="Rectangle: Rounded Corners 18">
          <a:extLst>
            <a:ext uri="{FF2B5EF4-FFF2-40B4-BE49-F238E27FC236}">
              <a16:creationId xmlns:a16="http://schemas.microsoft.com/office/drawing/2014/main" id="{977E9BB1-1523-4D26-B005-C6A6A8DA76D7}"/>
            </a:ext>
          </a:extLst>
        </xdr:cNvPr>
        <xdr:cNvSpPr/>
      </xdr:nvSpPr>
      <xdr:spPr>
        <a:xfrm>
          <a:off x="47625" y="266699"/>
          <a:ext cx="1790700" cy="1724025"/>
        </a:xfrm>
        <a:prstGeom prst="roundRect">
          <a:avLst>
            <a:gd name="adj" fmla="val 22778"/>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n>
                <a:noFill/>
              </a:ln>
              <a:solidFill>
                <a:schemeClr val="bg1"/>
              </a:solidFill>
            </a:rPr>
            <a:t>Delivery On Time</a:t>
          </a:r>
        </a:p>
      </xdr:txBody>
    </xdr:sp>
    <xdr:clientData/>
  </xdr:twoCellAnchor>
  <xdr:twoCellAnchor>
    <xdr:from>
      <xdr:col>0</xdr:col>
      <xdr:colOff>28575</xdr:colOff>
      <xdr:row>11</xdr:row>
      <xdr:rowOff>76200</xdr:rowOff>
    </xdr:from>
    <xdr:to>
      <xdr:col>3</xdr:col>
      <xdr:colOff>38100</xdr:colOff>
      <xdr:row>21</xdr:row>
      <xdr:rowOff>47625</xdr:rowOff>
    </xdr:to>
    <xdr:sp macro="" textlink="">
      <xdr:nvSpPr>
        <xdr:cNvPr id="21" name="Rectangle: Rounded Corners 20">
          <a:extLst>
            <a:ext uri="{FF2B5EF4-FFF2-40B4-BE49-F238E27FC236}">
              <a16:creationId xmlns:a16="http://schemas.microsoft.com/office/drawing/2014/main" id="{97E939B3-EDF6-4D56-AB79-F3EB271A3C71}"/>
            </a:ext>
          </a:extLst>
        </xdr:cNvPr>
        <xdr:cNvSpPr/>
      </xdr:nvSpPr>
      <xdr:spPr>
        <a:xfrm>
          <a:off x="28575" y="2171700"/>
          <a:ext cx="1838325" cy="1876425"/>
        </a:xfrm>
        <a:prstGeom prst="roundRect">
          <a:avLst>
            <a:gd name="adj" fmla="val 22778"/>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n>
                <a:noFill/>
              </a:ln>
              <a:solidFill>
                <a:schemeClr val="bg1"/>
              </a:solidFill>
            </a:rPr>
            <a:t>Best Colors Sold</a:t>
          </a:r>
        </a:p>
      </xdr:txBody>
    </xdr:sp>
    <xdr:clientData/>
  </xdr:twoCellAnchor>
  <xdr:oneCellAnchor>
    <xdr:from>
      <xdr:col>16</xdr:col>
      <xdr:colOff>238125</xdr:colOff>
      <xdr:row>8</xdr:row>
      <xdr:rowOff>171450</xdr:rowOff>
    </xdr:from>
    <xdr:ext cx="1085850" cy="342786"/>
    <xdr:sp macro="" textlink="analysis!C4">
      <xdr:nvSpPr>
        <xdr:cNvPr id="23" name="TextBox 22">
          <a:extLst>
            <a:ext uri="{FF2B5EF4-FFF2-40B4-BE49-F238E27FC236}">
              <a16:creationId xmlns:a16="http://schemas.microsoft.com/office/drawing/2014/main" id="{3D290B39-9DF3-4DE4-5693-B99583DCD6DE}"/>
            </a:ext>
          </a:extLst>
        </xdr:cNvPr>
        <xdr:cNvSpPr txBox="1"/>
      </xdr:nvSpPr>
      <xdr:spPr>
        <a:xfrm>
          <a:off x="9991725" y="1695450"/>
          <a:ext cx="10858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3A0798D-4588-4521-8C51-D219F0639E9D}" type="TxLink">
            <a:rPr lang="en-US" sz="1600" b="1" i="0" u="none" strike="noStrike">
              <a:solidFill>
                <a:schemeClr val="bg1"/>
              </a:solidFill>
              <a:latin typeface="Calibri"/>
              <a:ea typeface="Calibri"/>
              <a:cs typeface="Calibri"/>
            </a:rPr>
            <a:pPr/>
            <a:t> 1,280,803 </a:t>
          </a:fld>
          <a:endParaRPr lang="en-US" sz="1600" b="1">
            <a:solidFill>
              <a:schemeClr val="bg1"/>
            </a:solidFill>
          </a:endParaRPr>
        </a:p>
      </xdr:txBody>
    </xdr:sp>
    <xdr:clientData/>
  </xdr:oneCellAnchor>
  <xdr:oneCellAnchor>
    <xdr:from>
      <xdr:col>13</xdr:col>
      <xdr:colOff>371475</xdr:colOff>
      <xdr:row>8</xdr:row>
      <xdr:rowOff>161925</xdr:rowOff>
    </xdr:from>
    <xdr:ext cx="638175" cy="374141"/>
    <xdr:sp macro="" textlink="analysis!C11">
      <xdr:nvSpPr>
        <xdr:cNvPr id="25" name="TextBox 24">
          <a:extLst>
            <a:ext uri="{FF2B5EF4-FFF2-40B4-BE49-F238E27FC236}">
              <a16:creationId xmlns:a16="http://schemas.microsoft.com/office/drawing/2014/main" id="{EE0D61AF-138C-2E85-CCFD-DEE824FA481D}"/>
            </a:ext>
          </a:extLst>
        </xdr:cNvPr>
        <xdr:cNvSpPr txBox="1"/>
      </xdr:nvSpPr>
      <xdr:spPr>
        <a:xfrm>
          <a:off x="8296275" y="1685925"/>
          <a:ext cx="6381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BCE62E0-071D-4605-BF6C-D7586726CAFF}" type="TxLink">
            <a:rPr lang="en-US" sz="1800" b="1" i="0" u="none" strike="noStrike">
              <a:solidFill>
                <a:schemeClr val="bg1"/>
              </a:solidFill>
              <a:latin typeface="Calibri"/>
              <a:ea typeface="Calibri"/>
              <a:cs typeface="Calibri"/>
            </a:rPr>
            <a:pPr/>
            <a:t> 125 </a:t>
          </a:fld>
          <a:endParaRPr lang="en-US" sz="1800" b="1">
            <a:solidFill>
              <a:schemeClr val="bg1"/>
            </a:solidFill>
          </a:endParaRPr>
        </a:p>
      </xdr:txBody>
    </xdr:sp>
    <xdr:clientData/>
  </xdr:oneCellAnchor>
  <xdr:oneCellAnchor>
    <xdr:from>
      <xdr:col>4</xdr:col>
      <xdr:colOff>180975</xdr:colOff>
      <xdr:row>9</xdr:row>
      <xdr:rowOff>85725</xdr:rowOff>
    </xdr:from>
    <xdr:ext cx="588494" cy="311496"/>
    <xdr:sp macro="" textlink="analysis!C116">
      <xdr:nvSpPr>
        <xdr:cNvPr id="28" name="TextBox 27">
          <a:extLst>
            <a:ext uri="{FF2B5EF4-FFF2-40B4-BE49-F238E27FC236}">
              <a16:creationId xmlns:a16="http://schemas.microsoft.com/office/drawing/2014/main" id="{11FFFDB3-77C4-4876-81C4-05FBF2D1533A}"/>
            </a:ext>
          </a:extLst>
        </xdr:cNvPr>
        <xdr:cNvSpPr txBox="1"/>
      </xdr:nvSpPr>
      <xdr:spPr>
        <a:xfrm>
          <a:off x="2619375" y="1800225"/>
          <a:ext cx="58849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C11D9B7-DC02-4BC5-A034-57CEF2142679}" type="TxLink">
            <a:rPr lang="en-US" sz="1400" b="1" i="0" u="none" strike="noStrike">
              <a:solidFill>
                <a:schemeClr val="bg1"/>
              </a:solidFill>
              <a:latin typeface="Calibri"/>
              <a:ea typeface="Calibri"/>
              <a:cs typeface="Calibri"/>
            </a:rPr>
            <a:pPr/>
            <a:t>18%</a:t>
          </a:fld>
          <a:endParaRPr lang="en-US" sz="2400" b="1">
            <a:solidFill>
              <a:schemeClr val="bg1"/>
            </a:solidFill>
          </a:endParaRPr>
        </a:p>
      </xdr:txBody>
    </xdr:sp>
    <xdr:clientData/>
  </xdr:oneCellAnchor>
  <xdr:twoCellAnchor>
    <xdr:from>
      <xdr:col>0</xdr:col>
      <xdr:colOff>0</xdr:colOff>
      <xdr:row>2</xdr:row>
      <xdr:rowOff>76200</xdr:rowOff>
    </xdr:from>
    <xdr:to>
      <xdr:col>3</xdr:col>
      <xdr:colOff>200025</xdr:colOff>
      <xdr:row>11</xdr:row>
      <xdr:rowOff>85725</xdr:rowOff>
    </xdr:to>
    <xdr:graphicFrame macro="">
      <xdr:nvGraphicFramePr>
        <xdr:cNvPr id="30" name="Chart 29">
          <a:extLst>
            <a:ext uri="{FF2B5EF4-FFF2-40B4-BE49-F238E27FC236}">
              <a16:creationId xmlns:a16="http://schemas.microsoft.com/office/drawing/2014/main" id="{80F0CA9A-4786-4FFE-BE97-61F3E84ED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13</xdr:row>
      <xdr:rowOff>28574</xdr:rowOff>
    </xdr:from>
    <xdr:to>
      <xdr:col>2</xdr:col>
      <xdr:colOff>504825</xdr:colOff>
      <xdr:row>21</xdr:row>
      <xdr:rowOff>95249</xdr:rowOff>
    </xdr:to>
    <xdr:graphicFrame macro="">
      <xdr:nvGraphicFramePr>
        <xdr:cNvPr id="31" name="Chart 30">
          <a:extLst>
            <a:ext uri="{FF2B5EF4-FFF2-40B4-BE49-F238E27FC236}">
              <a16:creationId xmlns:a16="http://schemas.microsoft.com/office/drawing/2014/main" id="{7A0DE746-1FA7-4E4A-85A6-D8B304A74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142876</xdr:colOff>
      <xdr:row>12</xdr:row>
      <xdr:rowOff>57150</xdr:rowOff>
    </xdr:from>
    <xdr:to>
      <xdr:col>18</xdr:col>
      <xdr:colOff>219076</xdr:colOff>
      <xdr:row>20</xdr:row>
      <xdr:rowOff>161924</xdr:rowOff>
    </xdr:to>
    <xdr:graphicFrame macro="">
      <xdr:nvGraphicFramePr>
        <xdr:cNvPr id="32" name="Chart 31">
          <a:extLst>
            <a:ext uri="{FF2B5EF4-FFF2-40B4-BE49-F238E27FC236}">
              <a16:creationId xmlns:a16="http://schemas.microsoft.com/office/drawing/2014/main" id="{B2A40615-A9DF-4015-8C17-FEB4D2C05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xdr:colOff>
      <xdr:row>11</xdr:row>
      <xdr:rowOff>19050</xdr:rowOff>
    </xdr:from>
    <xdr:to>
      <xdr:col>8</xdr:col>
      <xdr:colOff>171449</xdr:colOff>
      <xdr:row>21</xdr:row>
      <xdr:rowOff>66675</xdr:rowOff>
    </xdr:to>
    <xdr:sp macro="" textlink="">
      <xdr:nvSpPr>
        <xdr:cNvPr id="34" name="Rectangle: Rounded Corners 33">
          <a:extLst>
            <a:ext uri="{FF2B5EF4-FFF2-40B4-BE49-F238E27FC236}">
              <a16:creationId xmlns:a16="http://schemas.microsoft.com/office/drawing/2014/main" id="{058F7CA3-3051-4075-A940-A725569BF72D}"/>
            </a:ext>
          </a:extLst>
        </xdr:cNvPr>
        <xdr:cNvSpPr/>
      </xdr:nvSpPr>
      <xdr:spPr>
        <a:xfrm>
          <a:off x="1924050" y="2114550"/>
          <a:ext cx="3124199" cy="1952625"/>
        </a:xfrm>
        <a:prstGeom prst="roundRect">
          <a:avLst>
            <a:gd name="adj" fmla="val 22778"/>
          </a:avLst>
        </a:prstGeom>
        <a:solidFill>
          <a:srgbClr val="140E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n>
                <a:noFill/>
              </a:ln>
              <a:solidFill>
                <a:schemeClr val="bg1"/>
              </a:solidFill>
            </a:rPr>
            <a:t>Orders By Area</a:t>
          </a:r>
        </a:p>
      </xdr:txBody>
    </xdr:sp>
    <xdr:clientData/>
  </xdr:twoCellAnchor>
  <xdr:twoCellAnchor>
    <xdr:from>
      <xdr:col>3</xdr:col>
      <xdr:colOff>219075</xdr:colOff>
      <xdr:row>11</xdr:row>
      <xdr:rowOff>161924</xdr:rowOff>
    </xdr:from>
    <xdr:to>
      <xdr:col>8</xdr:col>
      <xdr:colOff>47625</xdr:colOff>
      <xdr:row>24</xdr:row>
      <xdr:rowOff>9525</xdr:rowOff>
    </xdr:to>
    <xdr:graphicFrame macro="">
      <xdr:nvGraphicFramePr>
        <xdr:cNvPr id="35" name="Chart 34">
          <a:extLst>
            <a:ext uri="{FF2B5EF4-FFF2-40B4-BE49-F238E27FC236}">
              <a16:creationId xmlns:a16="http://schemas.microsoft.com/office/drawing/2014/main" id="{6C143A2F-2527-426F-A4AA-BB11E122B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400050</xdr:colOff>
      <xdr:row>13</xdr:row>
      <xdr:rowOff>9525</xdr:rowOff>
    </xdr:from>
    <xdr:to>
      <xdr:col>13</xdr:col>
      <xdr:colOff>523875</xdr:colOff>
      <xdr:row>21</xdr:row>
      <xdr:rowOff>180975</xdr:rowOff>
    </xdr:to>
    <xdr:graphicFrame macro="">
      <xdr:nvGraphicFramePr>
        <xdr:cNvPr id="36" name="Chart 35">
          <a:extLst>
            <a:ext uri="{FF2B5EF4-FFF2-40B4-BE49-F238E27FC236}">
              <a16:creationId xmlns:a16="http://schemas.microsoft.com/office/drawing/2014/main" id="{7D96EF8D-3734-4B36-9D8C-0FD59DF02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10</xdr:col>
      <xdr:colOff>438150</xdr:colOff>
      <xdr:row>9</xdr:row>
      <xdr:rowOff>19050</xdr:rowOff>
    </xdr:from>
    <xdr:ext cx="418704" cy="374141"/>
    <xdr:sp macro="" textlink="analysis!A37">
      <xdr:nvSpPr>
        <xdr:cNvPr id="37" name="TextBox 36">
          <a:extLst>
            <a:ext uri="{FF2B5EF4-FFF2-40B4-BE49-F238E27FC236}">
              <a16:creationId xmlns:a16="http://schemas.microsoft.com/office/drawing/2014/main" id="{C1F0B186-07FD-DD95-ABC6-15BEF4AB0EC0}"/>
            </a:ext>
          </a:extLst>
        </xdr:cNvPr>
        <xdr:cNvSpPr txBox="1"/>
      </xdr:nvSpPr>
      <xdr:spPr>
        <a:xfrm>
          <a:off x="6534150" y="1733550"/>
          <a:ext cx="4187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C9F7B25-116F-4227-B48C-B22921B66C6F}" type="TxLink">
            <a:rPr lang="en-US" sz="1800" b="1" i="0" u="none" strike="noStrike">
              <a:ln>
                <a:noFill/>
              </a:ln>
              <a:solidFill>
                <a:schemeClr val="bg1"/>
              </a:solidFill>
              <a:latin typeface="Calibri"/>
              <a:ea typeface="Calibri"/>
              <a:cs typeface="Calibri"/>
            </a:rPr>
            <a:pPr/>
            <a:t>76</a:t>
          </a:fld>
          <a:endParaRPr lang="en-US" sz="3200" b="1">
            <a:ln>
              <a:noFill/>
            </a:ln>
            <a:solidFill>
              <a:schemeClr val="bg1"/>
            </a:solidFill>
          </a:endParaRPr>
        </a:p>
      </xdr:txBody>
    </xdr:sp>
    <xdr:clientData/>
  </xdr:oneCellAnchor>
  <xdr:oneCellAnchor>
    <xdr:from>
      <xdr:col>7</xdr:col>
      <xdr:colOff>123825</xdr:colOff>
      <xdr:row>8</xdr:row>
      <xdr:rowOff>161925</xdr:rowOff>
    </xdr:from>
    <xdr:ext cx="746295" cy="342786"/>
    <xdr:sp macro="" textlink="analysis!C18">
      <xdr:nvSpPr>
        <xdr:cNvPr id="39" name="TextBox 38">
          <a:extLst>
            <a:ext uri="{FF2B5EF4-FFF2-40B4-BE49-F238E27FC236}">
              <a16:creationId xmlns:a16="http://schemas.microsoft.com/office/drawing/2014/main" id="{23B4EA89-1357-EBB3-AE54-8AAF75DF95D2}"/>
            </a:ext>
          </a:extLst>
        </xdr:cNvPr>
        <xdr:cNvSpPr txBox="1"/>
      </xdr:nvSpPr>
      <xdr:spPr>
        <a:xfrm>
          <a:off x="4391025" y="1685925"/>
          <a:ext cx="7462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7D3F00-8BD2-41E6-BBA7-BB619A84234C}" type="TxLink">
            <a:rPr lang="en-US" sz="1600" b="1" i="0" u="none" strike="noStrike">
              <a:solidFill>
                <a:schemeClr val="bg1"/>
              </a:solidFill>
              <a:latin typeface="Calibri"/>
              <a:ea typeface="Calibri"/>
              <a:cs typeface="Calibri"/>
            </a:rPr>
            <a:pPr/>
            <a:t> 10,246 </a:t>
          </a:fld>
          <a:endParaRPr lang="en-US" sz="1600" b="1">
            <a:solidFill>
              <a:schemeClr val="bg1"/>
            </a:solidFill>
          </a:endParaRPr>
        </a:p>
      </xdr:txBody>
    </xdr:sp>
    <xdr:clientData/>
  </xdr:oneCellAnchor>
  <xdr:twoCellAnchor editAs="oneCell">
    <xdr:from>
      <xdr:col>3</xdr:col>
      <xdr:colOff>333373</xdr:colOff>
      <xdr:row>2</xdr:row>
      <xdr:rowOff>152401</xdr:rowOff>
    </xdr:from>
    <xdr:to>
      <xdr:col>17</xdr:col>
      <xdr:colOff>476250</xdr:colOff>
      <xdr:row>6</xdr:row>
      <xdr:rowOff>57151</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4BE209BE-5C6F-473C-988C-5BCD0A269E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62173" y="533401"/>
              <a:ext cx="8677277"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1</xdr:row>
      <xdr:rowOff>190499</xdr:rowOff>
    </xdr:from>
    <xdr:to>
      <xdr:col>20</xdr:col>
      <xdr:colOff>285749</xdr:colOff>
      <xdr:row>19</xdr:row>
      <xdr:rowOff>180975</xdr:rowOff>
    </xdr:to>
    <mc:AlternateContent xmlns:mc="http://schemas.openxmlformats.org/markup-compatibility/2006" xmlns:a14="http://schemas.microsoft.com/office/drawing/2010/main">
      <mc:Choice Requires="a14">
        <xdr:graphicFrame macro="">
          <xdr:nvGraphicFramePr>
            <xdr:cNvPr id="43" name="المحافظه">
              <a:extLst>
                <a:ext uri="{FF2B5EF4-FFF2-40B4-BE49-F238E27FC236}">
                  <a16:creationId xmlns:a16="http://schemas.microsoft.com/office/drawing/2014/main" id="{F21CF3BF-98CC-4FA4-9816-499C3C3388AE}"/>
                </a:ext>
              </a:extLst>
            </xdr:cNvPr>
            <xdr:cNvGraphicFramePr/>
          </xdr:nvGraphicFramePr>
          <xdr:xfrm>
            <a:off x="0" y="0"/>
            <a:ext cx="0" cy="0"/>
          </xdr:xfrm>
          <a:graphic>
            <a:graphicData uri="http://schemas.microsoft.com/office/drawing/2010/slicer">
              <sle:slicer xmlns:sle="http://schemas.microsoft.com/office/drawing/2010/slicer" name="المحافظه"/>
            </a:graphicData>
          </a:graphic>
        </xdr:graphicFrame>
      </mc:Choice>
      <mc:Fallback xmlns="">
        <xdr:sp macro="" textlink="">
          <xdr:nvSpPr>
            <xdr:cNvPr id="0" name=""/>
            <xdr:cNvSpPr>
              <a:spLocks noTextEdit="1"/>
            </xdr:cNvSpPr>
          </xdr:nvSpPr>
          <xdr:spPr>
            <a:xfrm>
              <a:off x="11620500" y="380999"/>
              <a:ext cx="857249" cy="3419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dija Ahmed" refreshedDate="45984.980988773146" createdVersion="8" refreshedVersion="8" minRefreshableVersion="3" recordCount="125" xr:uid="{508CB7DF-02DB-4753-8D20-0539B1EC1FC4}">
  <cacheSource type="worksheet">
    <worksheetSource name="Table1"/>
  </cacheSource>
  <cacheFields count="22">
    <cacheField name="أسم العميل" numFmtId="0">
      <sharedItems count="79">
        <s v="tarek"/>
        <s v="رامى "/>
        <s v="keira"/>
        <s v="رحاب"/>
        <s v="فؤاد المنسي "/>
        <s v="mohannad"/>
        <s v="مصطفي غنيم "/>
        <s v="Mohamed Ayman"/>
        <s v="ولاء بدوى"/>
        <s v="reem"/>
        <s v="مريم عنان"/>
        <s v="شيك هومز"/>
        <s v="ساره"/>
        <s v="تاكى"/>
        <s v="ميار خورشد"/>
        <s v="عبد الله سيد "/>
        <s v="ساندرا"/>
        <s v="كينج سونا "/>
        <s v="احمد ايمن "/>
        <s v="على رشوان "/>
        <s v="محمد حمدى"/>
        <s v="هبه عطيه "/>
        <s v="اوسكار راتن"/>
        <s v="خالد عبد القوى "/>
        <s v="محمود"/>
        <s v="رنا "/>
        <s v="هبه عبد الفتاح "/>
        <s v="هشام سامى"/>
        <s v="صفاء عبد الباقي"/>
        <s v="رندا العامرى "/>
        <s v="احمد "/>
        <s v="فيصل نعيم "/>
        <s v="منزلى"/>
        <s v="سعيد"/>
        <s v="زينا "/>
        <s v="احمد فخرى "/>
        <s v="لينا "/>
        <s v="ellho elkafy"/>
        <s v="صفاء"/>
        <s v="صفاء الحكيم"/>
        <s v="عبير نور الدين"/>
        <s v="على السيد "/>
        <s v="احمد خالد "/>
        <s v="حسام عبدون"/>
        <s v="عبد الرحمن يسري"/>
        <s v="الحج محمد السويس"/>
        <s v="عمرو الأسود"/>
        <s v="احمد عبد الستار"/>
        <s v="نور"/>
        <s v="تامر"/>
        <s v="هناء اسامه"/>
        <s v="اياد "/>
        <s v="محمد شكرى "/>
        <s v="حمدى ذكرى"/>
        <s v="يوسف شناوى"/>
        <s v="هشام بسيونى "/>
        <s v="مها "/>
        <s v="حماده"/>
        <s v="حسن حازم"/>
        <s v="طارق كمال "/>
        <s v="فاطمه محمد"/>
        <s v="حسن مغرب "/>
        <s v="ديفد بهجت "/>
        <s v="بافلى هانى "/>
        <s v="محمد عادل "/>
        <s v="حاتم العيسوي "/>
        <s v="yilmaz"/>
        <s v="اسراء ابو العنين "/>
        <s v="وائل صادق"/>
        <s v="محمد ناجى"/>
        <s v="بولا هومزمارت"/>
        <s v="رنا ميلاد"/>
        <s v="اسراء ابراهيم "/>
        <s v="اسامه"/>
        <s v="ساره وجيه "/>
        <s v="بسام الشربينى "/>
        <s v="شيك هومز " u="1"/>
        <s v="تاكى " u="1"/>
        <s v="نور " u="1"/>
      </sharedItems>
    </cacheField>
    <cacheField name="نوع العميل" numFmtId="0">
      <sharedItems/>
    </cacheField>
    <cacheField name="المدينه" numFmtId="0">
      <sharedItems count="32">
        <s v="مصر الجديده"/>
        <s v="الشروق"/>
        <s v="المقطم"/>
        <s v="المعادى"/>
        <s v="اسيوط "/>
        <s v="مدينه بدر"/>
        <s v="العباسيه"/>
        <s v="البطاش"/>
        <s v="التجمع الخامس"/>
        <s v=" اكتوبر "/>
        <s v="الشيخ زايد"/>
        <s v="الغردقه "/>
        <s v="العبور"/>
        <s v="القناطر"/>
        <s v="العجوزه"/>
        <s v="سموحه"/>
        <s v="القطاميه"/>
        <s v="سيدى عبد الرحمن"/>
        <s v="مدينه نصر"/>
        <s v="العين السخنه"/>
        <s v=" بولاق"/>
        <s v="الرحاب"/>
        <s v="الغردقه"/>
        <s v="السويس"/>
        <s v="الزمالك"/>
        <s v="المندره"/>
        <s v="مدينتى"/>
        <s v="الابراهيميه"/>
        <s v="حدايق الاهرام"/>
        <s v="فيصل"/>
        <s v="شبرا"/>
        <s v="جليم"/>
      </sharedItems>
    </cacheField>
    <cacheField name="المحافظه" numFmtId="0">
      <sharedItems count="11">
        <s v="القاهره"/>
        <s v=" اسيوط"/>
        <s v="اسكندريه"/>
        <s v="الجيزه"/>
        <s v="الغردقه"/>
        <s v="الساحل"/>
        <s v="السويس"/>
        <s v=" الجيزه" u="1"/>
        <s v="الساحل الشمالى " u="1"/>
        <s v="القاهره " u="1"/>
        <s v="الجيزه " u="1"/>
      </sharedItems>
    </cacheField>
    <cacheField name="منصة البيع " numFmtId="0">
      <sharedItems count="12">
        <s v="هومزمارت"/>
        <s v="شيك هومز"/>
        <s v="تاكى"/>
        <s v="فيسبوك"/>
        <s v="اوسكار ريتن "/>
        <s v="منزلى"/>
        <s v="كينج"/>
        <s v="السويس"/>
        <s v="شيك هومز " u="1"/>
        <s v="منزلى " u="1"/>
        <s v="تاكى " u="1"/>
        <s v="هومزمارت " u="1"/>
      </sharedItems>
    </cacheField>
    <cacheField name="نوع المنتج" numFmtId="0">
      <sharedItems count="8">
        <s v="سرير"/>
        <s v="كنبه"/>
        <s v="ترابيزه"/>
        <s v="كرسى"/>
        <s v="ركنة"/>
        <s v="كنبه " u="1"/>
        <s v="سرير " u="1"/>
        <s v="ترابيزه " u="1"/>
      </sharedItems>
    </cacheField>
    <cacheField name="تفاصيل المنتج" numFmtId="0">
      <sharedItems/>
    </cacheField>
    <cacheField name="اسم البراند" numFmtId="0">
      <sharedItems/>
    </cacheField>
    <cacheField name="اللون المعدن" numFmtId="0">
      <sharedItems count="12">
        <s v="ابيض"/>
        <s v="رمادى"/>
        <s v="بينك"/>
        <s v="اسود"/>
        <s v="دهبي"/>
        <s v="ازرق"/>
        <s v="نبيتى "/>
        <s v="الوان"/>
        <s v="بنفسجى"/>
        <s v="اسود وبنى"/>
        <s v="غير محدد" u="1"/>
        <s v="اسود " u="1"/>
      </sharedItems>
    </cacheField>
    <cacheField name="لون القماش" numFmtId="0">
      <sharedItems/>
    </cacheField>
    <cacheField name="سعر البيع " numFmtId="164">
      <sharedItems containsSemiMixedTypes="0" containsString="0" containsNumber="1" minValue="4020" maxValue="22000"/>
    </cacheField>
    <cacheField name="طريقه الدفع " numFmtId="0">
      <sharedItems/>
    </cacheField>
    <cacheField name="ميعاد الطلب" numFmtId="14">
      <sharedItems containsSemiMixedTypes="0" containsNonDate="0" containsDate="1" containsString="0" minDate="2024-07-27T00:00:00" maxDate="2024-12-15T00:00:00" count="55">
        <d v="2024-10-16T00:00:00"/>
        <d v="2024-09-14T00:00:00"/>
        <d v="2024-10-13T00:00:00"/>
        <d v="2024-09-15T00:00:00"/>
        <d v="2024-09-16T00:00:00"/>
        <d v="2024-09-26T00:00:00"/>
        <d v="2024-10-17T00:00:00"/>
        <d v="2024-12-09T00:00:00"/>
        <d v="2024-11-08T00:00:00"/>
        <d v="2024-10-24T00:00:00"/>
        <d v="2024-11-19T00:00:00"/>
        <d v="2024-10-07T00:00:00"/>
        <d v="2024-08-25T00:00:00"/>
        <d v="2024-11-20T00:00:00"/>
        <d v="2024-09-01T00:00:00"/>
        <d v="2024-12-14T00:00:00"/>
        <d v="2024-11-22T00:00:00"/>
        <d v="2024-12-12T00:00:00"/>
        <d v="2024-12-01T00:00:00"/>
        <d v="2024-07-27T00:00:00"/>
        <d v="2024-07-28T00:00:00"/>
        <d v="2024-09-12T00:00:00"/>
        <d v="2024-09-13T00:00:00"/>
        <d v="2024-10-20T00:00:00"/>
        <d v="2024-11-14T00:00:00"/>
        <d v="2024-11-17T00:00:00"/>
        <d v="2024-08-17T00:00:00"/>
        <d v="2024-09-03T00:00:00"/>
        <d v="2024-11-10T00:00:00"/>
        <d v="2024-11-12T00:00:00"/>
        <d v="2024-08-16T00:00:00"/>
        <d v="2024-09-05T00:00:00"/>
        <d v="2024-09-04T00:00:00"/>
        <d v="2024-09-29T00:00:00"/>
        <d v="2024-10-01T00:00:00"/>
        <d v="2024-10-03T00:00:00"/>
        <d v="2024-10-22T00:00:00"/>
        <d v="2024-10-26T00:00:00"/>
        <d v="2024-11-29T00:00:00"/>
        <d v="2024-11-30T00:00:00"/>
        <d v="2024-12-02T00:00:00"/>
        <d v="2024-10-08T00:00:00"/>
        <d v="2024-11-11T00:00:00"/>
        <d v="2024-08-14T00:00:00"/>
        <d v="2024-10-10T00:00:00"/>
        <d v="2024-09-09T00:00:00"/>
        <d v="2024-10-21T00:00:00"/>
        <d v="2024-09-06T00:00:00"/>
        <d v="2024-11-24T00:00:00"/>
        <d v="2024-12-04T00:00:00"/>
        <d v="2024-09-21T00:00:00"/>
        <d v="2024-09-23T00:00:00"/>
        <d v="2024-11-27T00:00:00"/>
        <d v="2024-10-28T00:00:00"/>
        <d v="2024-08-19T00:00:00"/>
      </sharedItems>
      <fieldGroup par="21"/>
    </cacheField>
    <cacheField name="ميعاد التسليم" numFmtId="0">
      <sharedItems containsDate="1" containsMixedTypes="1" minDate="2024-08-07T00:00:00" maxDate="2025-01-06T00:00:00"/>
    </cacheField>
    <cacheField name="Month" numFmtId="14">
      <sharedItems count="6">
        <s v="Oct"/>
        <s v="Sep"/>
        <s v="Dec"/>
        <s v="Nov"/>
        <s v="Aug"/>
        <s v="Jul"/>
      </sharedItems>
    </cacheField>
    <cacheField name="تاريخ التسليم" numFmtId="0">
      <sharedItems containsDate="1" containsMixedTypes="1" minDate="2024-08-10T00:00:00" maxDate="2024-12-30T00:00:00"/>
    </cacheField>
    <cacheField name="مده التوصيل" numFmtId="0">
      <sharedItems containsSemiMixedTypes="0" containsString="0" containsNumber="1" containsInteger="1" minValue="-59" maxValue="20"/>
    </cacheField>
    <cacheField name="on time delivery" numFmtId="49">
      <sharedItems count="3">
        <s v="yes"/>
        <s v="not deliverd"/>
        <s v="no"/>
      </sharedItems>
    </cacheField>
    <cacheField name="المسئول عن التسليم" numFmtId="0">
      <sharedItems/>
    </cacheField>
    <cacheField name="الحالة" numFmtId="0">
      <sharedItems count="5">
        <s v="تم التسليم"/>
        <s v="فشل التسليم"/>
        <s v="مرتجع"/>
        <s v="تم التسليم " u="1"/>
        <s v="فشل التسليم " u="1"/>
      </sharedItems>
    </cacheField>
    <cacheField name="Days (ميعاد الطلب)" numFmtId="0" databaseField="0">
      <fieldGroup base="12">
        <rangePr groupBy="days" startDate="2024-07-27T00:00:00" endDate="2024-12-15T00:00:00"/>
        <groupItems count="368">
          <s v="&lt;7/27/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Months (ميعاد الطلب)" numFmtId="0" databaseField="0">
      <fieldGroup base="12">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685382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s v="فرد"/>
    <x v="0"/>
    <x v="0"/>
    <x v="0"/>
    <x v="0"/>
    <s v="دورين"/>
    <s v="كينج"/>
    <x v="0"/>
    <s v="غير محدد"/>
    <n v="10499"/>
    <s v="مسبق الدفع"/>
    <x v="0"/>
    <d v="2024-12-19T00:00:00"/>
    <x v="0"/>
    <d v="2024-10-21T00:00:00"/>
    <n v="-59"/>
    <x v="0"/>
    <s v="محمود على "/>
    <x v="0"/>
  </r>
  <r>
    <x v="1"/>
    <s v="فرد"/>
    <x v="1"/>
    <x v="0"/>
    <x v="0"/>
    <x v="0"/>
    <s v="دورين"/>
    <s v="نوفال"/>
    <x v="1"/>
    <s v="غير محدد"/>
    <n v="12399"/>
    <s v="مسبق الدفع"/>
    <x v="1"/>
    <d v="2024-11-20T00:00:00"/>
    <x v="1"/>
    <d v="2024-10-01T00:00:00"/>
    <n v="-50"/>
    <x v="0"/>
    <s v="شركه شحن "/>
    <x v="0"/>
  </r>
  <r>
    <x v="2"/>
    <s v="فرد"/>
    <x v="0"/>
    <x v="0"/>
    <x v="0"/>
    <x v="0"/>
    <s v="دورين"/>
    <s v="نوفال"/>
    <x v="2"/>
    <s v="غير محدد"/>
    <n v="12899"/>
    <s v="كاش"/>
    <x v="2"/>
    <d v="2024-12-17T00:00:00"/>
    <x v="0"/>
    <d v="2024-11-02T00:00:00"/>
    <n v="-45"/>
    <x v="0"/>
    <s v="محمود على "/>
    <x v="0"/>
  </r>
  <r>
    <x v="3"/>
    <s v="فرد"/>
    <x v="0"/>
    <x v="0"/>
    <x v="0"/>
    <x v="1"/>
    <s v="4x1"/>
    <s v="هومزمارت"/>
    <x v="3"/>
    <s v="رمادى"/>
    <n v="21999"/>
    <s v="مسبق الدفع"/>
    <x v="1"/>
    <d v="2024-11-20T00:00:00"/>
    <x v="1"/>
    <d v="2024-10-09T00:00:00"/>
    <n v="-42"/>
    <x v="0"/>
    <s v="محمود على "/>
    <x v="0"/>
  </r>
  <r>
    <x v="4"/>
    <s v="فرد"/>
    <x v="2"/>
    <x v="0"/>
    <x v="0"/>
    <x v="0"/>
    <s v="دورين"/>
    <s v="نوفال"/>
    <x v="0"/>
    <s v="غير محدد"/>
    <n v="10999"/>
    <s v="كاش"/>
    <x v="1"/>
    <d v="2024-11-20T00:00:00"/>
    <x v="1"/>
    <d v="2024-10-16T00:00:00"/>
    <n v="-35"/>
    <x v="0"/>
    <s v="محمود على "/>
    <x v="0"/>
  </r>
  <r>
    <x v="5"/>
    <s v="فرد"/>
    <x v="3"/>
    <x v="0"/>
    <x v="0"/>
    <x v="0"/>
    <s v="دورين"/>
    <s v="كينج"/>
    <x v="0"/>
    <s v="غير محدد"/>
    <n v="10999"/>
    <s v="كاش"/>
    <x v="3"/>
    <d v="2024-11-20T00:00:00"/>
    <x v="1"/>
    <d v="2024-10-16T00:00:00"/>
    <n v="-35"/>
    <x v="0"/>
    <s v="محمود على "/>
    <x v="0"/>
  </r>
  <r>
    <x v="5"/>
    <s v="فرد"/>
    <x v="3"/>
    <x v="0"/>
    <x v="0"/>
    <x v="0"/>
    <s v="دورين"/>
    <s v="كينج"/>
    <x v="0"/>
    <s v="غير محدد"/>
    <n v="10999"/>
    <s v="كاش"/>
    <x v="3"/>
    <d v="2024-11-20T00:00:00"/>
    <x v="1"/>
    <d v="2024-10-16T00:00:00"/>
    <n v="-35"/>
    <x v="0"/>
    <s v="محمود على "/>
    <x v="0"/>
  </r>
  <r>
    <x v="6"/>
    <s v="فرد"/>
    <x v="4"/>
    <x v="1"/>
    <x v="0"/>
    <x v="0"/>
    <s v="دورين"/>
    <s v="كينج"/>
    <x v="1"/>
    <s v="غير محدد"/>
    <n v="12999"/>
    <s v="كاش"/>
    <x v="1"/>
    <d v="2024-11-20T00:00:00"/>
    <x v="1"/>
    <d v="2024-10-17T00:00:00"/>
    <n v="-34"/>
    <x v="0"/>
    <s v="شركه شحن "/>
    <x v="0"/>
  </r>
  <r>
    <x v="7"/>
    <s v="فرد"/>
    <x v="5"/>
    <x v="0"/>
    <x v="0"/>
    <x v="1"/>
    <s v="4x1"/>
    <s v="هومزمارت"/>
    <x v="3"/>
    <s v="رمادى"/>
    <n v="21999"/>
    <s v="كاش"/>
    <x v="4"/>
    <d v="2024-11-20T00:00:00"/>
    <x v="1"/>
    <d v="2024-10-19T00:00:00"/>
    <n v="-32"/>
    <x v="0"/>
    <s v="محمود على "/>
    <x v="0"/>
  </r>
  <r>
    <x v="8"/>
    <s v="فرد"/>
    <x v="6"/>
    <x v="0"/>
    <x v="0"/>
    <x v="0"/>
    <s v="فردى"/>
    <s v="فورجينا"/>
    <x v="0"/>
    <s v="غير محدد"/>
    <n v="8943"/>
    <s v="كاش"/>
    <x v="5"/>
    <d v="2024-11-10T00:00:00"/>
    <x v="1"/>
    <d v="2024-10-10T00:00:00"/>
    <n v="-31"/>
    <x v="0"/>
    <s v="محمود على "/>
    <x v="0"/>
  </r>
  <r>
    <x v="9"/>
    <s v="فرد"/>
    <x v="7"/>
    <x v="2"/>
    <x v="0"/>
    <x v="0"/>
    <s v="دورين"/>
    <s v="نوفال"/>
    <x v="2"/>
    <s v="غير محدد"/>
    <n v="12899"/>
    <s v="مسبق الدفع"/>
    <x v="6"/>
    <d v="2024-12-22T00:00:00"/>
    <x v="0"/>
    <d v="2024-12-03T00:00:00"/>
    <n v="-19"/>
    <x v="0"/>
    <s v="شركه شحن "/>
    <x v="0"/>
  </r>
  <r>
    <x v="10"/>
    <s v="فرد"/>
    <x v="8"/>
    <x v="0"/>
    <x v="1"/>
    <x v="0"/>
    <s v="دورين"/>
    <s v="كينج"/>
    <x v="3"/>
    <s v="غير محدد"/>
    <n v="10445"/>
    <s v="كاش"/>
    <x v="7"/>
    <d v="2024-12-31T00:00:00"/>
    <x v="2"/>
    <d v="2024-12-12T00:00:00"/>
    <n v="-19"/>
    <x v="0"/>
    <s v="محمود على "/>
    <x v="0"/>
  </r>
  <r>
    <x v="11"/>
    <s v="شركه"/>
    <x v="8"/>
    <x v="0"/>
    <x v="1"/>
    <x v="1"/>
    <s v="4x1"/>
    <s v="ارينا"/>
    <x v="3"/>
    <s v="بترولى"/>
    <n v="15872"/>
    <s v="مسبق الدفع"/>
    <x v="8"/>
    <d v="2024-12-03T00:00:00"/>
    <x v="3"/>
    <d v="2024-11-14T00:00:00"/>
    <n v="-19"/>
    <x v="0"/>
    <s v="محمود على "/>
    <x v="0"/>
  </r>
  <r>
    <x v="12"/>
    <s v="فرد"/>
    <x v="0"/>
    <x v="0"/>
    <x v="0"/>
    <x v="0"/>
    <s v="فردى"/>
    <s v="اسبانى"/>
    <x v="0"/>
    <s v="غير محدد"/>
    <n v="10987"/>
    <s v="مسبق الدفع"/>
    <x v="1"/>
    <d v="2024-10-29T00:00:00"/>
    <x v="1"/>
    <d v="2024-10-13T00:00:00"/>
    <n v="-16"/>
    <x v="0"/>
    <s v="محمود على "/>
    <x v="0"/>
  </r>
  <r>
    <x v="12"/>
    <s v="فرد"/>
    <x v="0"/>
    <x v="0"/>
    <x v="0"/>
    <x v="0"/>
    <s v="فردى"/>
    <s v="اسبانى"/>
    <x v="0"/>
    <s v="غير محدد"/>
    <n v="10987"/>
    <s v="مسبق الدفع"/>
    <x v="1"/>
    <d v="2024-10-29T00:00:00"/>
    <x v="1"/>
    <d v="2024-10-13T00:00:00"/>
    <n v="-16"/>
    <x v="0"/>
    <s v="محمود على "/>
    <x v="0"/>
  </r>
  <r>
    <x v="11"/>
    <s v="شركه"/>
    <x v="8"/>
    <x v="0"/>
    <x v="1"/>
    <x v="1"/>
    <s v="4x1"/>
    <s v="شيك هومز "/>
    <x v="3"/>
    <s v="غير محدد"/>
    <n v="15516"/>
    <s v="مسبق الدفع"/>
    <x v="9"/>
    <d v="2024-11-14T00:00:00"/>
    <x v="0"/>
    <d v="2024-10-30T00:00:00"/>
    <n v="-15"/>
    <x v="0"/>
    <s v="محمود على "/>
    <x v="0"/>
  </r>
  <r>
    <x v="13"/>
    <s v="شركه"/>
    <x v="6"/>
    <x v="0"/>
    <x v="2"/>
    <x v="1"/>
    <s v="تاكى"/>
    <s v="تاكى"/>
    <x v="3"/>
    <s v="غير محدد"/>
    <n v="6000"/>
    <s v="كاش"/>
    <x v="10"/>
    <d v="2024-12-05T00:00:00"/>
    <x v="3"/>
    <d v="2024-11-20T00:00:00"/>
    <n v="-15"/>
    <x v="0"/>
    <s v="م محمد "/>
    <x v="0"/>
  </r>
  <r>
    <x v="14"/>
    <s v="فرد"/>
    <x v="9"/>
    <x v="3"/>
    <x v="0"/>
    <x v="0"/>
    <s v="منطبق"/>
    <s v="هومزمارت"/>
    <x v="3"/>
    <s v="اسود"/>
    <n v="9399"/>
    <s v="كاش"/>
    <x v="1"/>
    <d v="2024-10-29T00:00:00"/>
    <x v="1"/>
    <d v="2024-10-15T00:00:00"/>
    <n v="-14"/>
    <x v="0"/>
    <s v="محمود على "/>
    <x v="0"/>
  </r>
  <r>
    <x v="15"/>
    <s v="فرد"/>
    <x v="10"/>
    <x v="3"/>
    <x v="0"/>
    <x v="0"/>
    <s v="فردى"/>
    <s v="اسبانى"/>
    <x v="3"/>
    <s v="بيج"/>
    <n v="11817"/>
    <s v="كاش"/>
    <x v="1"/>
    <d v="2024-10-29T00:00:00"/>
    <x v="1"/>
    <d v="2024-10-15T00:00:00"/>
    <n v="-14"/>
    <x v="0"/>
    <s v="محمود على "/>
    <x v="0"/>
  </r>
  <r>
    <x v="11"/>
    <s v="شركه"/>
    <x v="9"/>
    <x v="3"/>
    <x v="1"/>
    <x v="1"/>
    <s v="4x1"/>
    <s v="شيك هومز "/>
    <x v="3"/>
    <s v="بترولى "/>
    <n v="14550"/>
    <s v="مسبق الدفع"/>
    <x v="11"/>
    <d v="2024-10-29T00:00:00"/>
    <x v="0"/>
    <d v="2024-10-15T00:00:00"/>
    <n v="-14"/>
    <x v="0"/>
    <s v="محمود على "/>
    <x v="0"/>
  </r>
  <r>
    <x v="16"/>
    <s v="فرد"/>
    <x v="11"/>
    <x v="4"/>
    <x v="0"/>
    <x v="2"/>
    <s v="2 ميكانزم"/>
    <s v="هومزمارت"/>
    <x v="3"/>
    <s v="غير محدد"/>
    <n v="8642"/>
    <s v="مسبق الدفع"/>
    <x v="12"/>
    <d v="2024-09-07T00:00:00"/>
    <x v="4"/>
    <d v="2024-08-27T00:00:00"/>
    <n v="-11"/>
    <x v="0"/>
    <s v="شركه شحن "/>
    <x v="0"/>
  </r>
  <r>
    <x v="17"/>
    <s v="فرد"/>
    <x v="1"/>
    <x v="0"/>
    <x v="0"/>
    <x v="2"/>
    <s v="رف سحاب"/>
    <s v="هومزمارت"/>
    <x v="3"/>
    <s v="غير محدد"/>
    <n v="8349"/>
    <s v="كاش"/>
    <x v="1"/>
    <d v="2024-10-29T00:00:00"/>
    <x v="1"/>
    <d v="2024-10-19T00:00:00"/>
    <n v="-10"/>
    <x v="0"/>
    <s v="محمود على "/>
    <x v="0"/>
  </r>
  <r>
    <x v="18"/>
    <s v="فرد"/>
    <x v="12"/>
    <x v="0"/>
    <x v="0"/>
    <x v="2"/>
    <s v="2 ميكانزم"/>
    <s v="هومزمارت"/>
    <x v="3"/>
    <s v="غير محدد"/>
    <n v="10319"/>
    <s v="مسبق الدفع"/>
    <x v="1"/>
    <d v="2024-10-29T00:00:00"/>
    <x v="1"/>
    <d v="2024-10-19T00:00:00"/>
    <n v="-10"/>
    <x v="0"/>
    <s v="محمود على "/>
    <x v="0"/>
  </r>
  <r>
    <x v="12"/>
    <s v="فرد"/>
    <x v="9"/>
    <x v="3"/>
    <x v="0"/>
    <x v="0"/>
    <s v="دورين"/>
    <s v="كينج"/>
    <x v="3"/>
    <s v="غير محدد"/>
    <n v="13439"/>
    <s v="كاش"/>
    <x v="13"/>
    <d v="2024-12-05T00:00:00"/>
    <x v="3"/>
    <d v="2024-11-26T00:00:00"/>
    <n v="-9"/>
    <x v="0"/>
    <s v="محمود على "/>
    <x v="0"/>
  </r>
  <r>
    <x v="19"/>
    <s v="فرد"/>
    <x v="0"/>
    <x v="0"/>
    <x v="0"/>
    <x v="0"/>
    <s v="دورين"/>
    <s v="نوفال"/>
    <x v="0"/>
    <s v="غير محدد"/>
    <n v="10499"/>
    <s v="كاش"/>
    <x v="14"/>
    <d v="2024-09-16T00:00:00"/>
    <x v="1"/>
    <d v="2024-09-08T00:00:00"/>
    <n v="-8"/>
    <x v="0"/>
    <s v="شركه شحن "/>
    <x v="0"/>
  </r>
  <r>
    <x v="11"/>
    <s v="شركه"/>
    <x v="8"/>
    <x v="0"/>
    <x v="1"/>
    <x v="1"/>
    <s v="4x1"/>
    <s v="ارينا"/>
    <x v="3"/>
    <s v="روك ١٠"/>
    <n v="8700"/>
    <s v="حساب شركه"/>
    <x v="15"/>
    <d v="2025-01-05T00:00:00"/>
    <x v="2"/>
    <d v="2024-12-29T00:00:00"/>
    <n v="-7"/>
    <x v="0"/>
    <s v="محمود على "/>
    <x v="0"/>
  </r>
  <r>
    <x v="20"/>
    <s v="فرد"/>
    <x v="0"/>
    <x v="0"/>
    <x v="3"/>
    <x v="0"/>
    <s v="فردى"/>
    <s v="كينج"/>
    <x v="4"/>
    <s v="ابيض"/>
    <n v="6000"/>
    <s v="كاش"/>
    <x v="16"/>
    <d v="2024-12-02T00:00:00"/>
    <x v="3"/>
    <d v="2024-11-27T00:00:00"/>
    <n v="-5"/>
    <x v="0"/>
    <s v="محمود على "/>
    <x v="0"/>
  </r>
  <r>
    <x v="21"/>
    <s v="فرد"/>
    <x v="0"/>
    <x v="0"/>
    <x v="0"/>
    <x v="2"/>
    <s v="دوران"/>
    <s v="هومزمارت"/>
    <x v="3"/>
    <s v="بنى غامق"/>
    <n v="11199"/>
    <s v="كاش"/>
    <x v="17"/>
    <d v="2024-12-24T00:00:00"/>
    <x v="2"/>
    <d v="2024-12-19T00:00:00"/>
    <n v="-5"/>
    <x v="0"/>
    <s v="محمود على "/>
    <x v="0"/>
  </r>
  <r>
    <x v="22"/>
    <s v="شركه"/>
    <x v="13"/>
    <x v="3"/>
    <x v="4"/>
    <x v="0"/>
    <s v="دورين "/>
    <s v="كينج"/>
    <x v="5"/>
    <s v="غير محدد"/>
    <n v="5217"/>
    <s v="حساب شركه"/>
    <x v="18"/>
    <d v="2024-12-14T00:00:00"/>
    <x v="2"/>
    <d v="2024-12-10T00:00:00"/>
    <n v="-4"/>
    <x v="0"/>
    <s v="محمود على "/>
    <x v="0"/>
  </r>
  <r>
    <x v="23"/>
    <s v="فرد"/>
    <x v="14"/>
    <x v="3"/>
    <x v="0"/>
    <x v="0"/>
    <s v="منطبق"/>
    <s v="هومزمارت"/>
    <x v="0"/>
    <s v="ابيض"/>
    <n v="10160"/>
    <s v="مسبق الدفع"/>
    <x v="19"/>
    <d v="2024-08-07T00:00:00"/>
    <x v="5"/>
    <d v="2024-08-10T00:00:00"/>
    <n v="-3"/>
    <x v="0"/>
    <s v="شركه شحن "/>
    <x v="0"/>
  </r>
  <r>
    <x v="24"/>
    <s v="فرد"/>
    <x v="15"/>
    <x v="2"/>
    <x v="0"/>
    <x v="0"/>
    <s v="منطبق"/>
    <s v="هومزمارت"/>
    <x v="3"/>
    <s v="اسود"/>
    <n v="10160"/>
    <s v="كاش"/>
    <x v="20"/>
    <d v="2024-08-08T00:00:00"/>
    <x v="5"/>
    <d v="2024-08-11T00:00:00"/>
    <n v="-3"/>
    <x v="0"/>
    <s v="شركه شحن "/>
    <x v="0"/>
  </r>
  <r>
    <x v="25"/>
    <s v="فرد"/>
    <x v="16"/>
    <x v="0"/>
    <x v="0"/>
    <x v="2"/>
    <s v="2 ميكانزم"/>
    <s v="هومزمارت"/>
    <x v="3"/>
    <s v="غير محدد"/>
    <n v="7849"/>
    <s v="كاش"/>
    <x v="21"/>
    <d v="2024-09-26T00:00:00"/>
    <x v="1"/>
    <d v="2024-09-29T00:00:00"/>
    <n v="-3"/>
    <x v="0"/>
    <s v="شركه شحن "/>
    <x v="0"/>
  </r>
  <r>
    <x v="26"/>
    <s v="فرد"/>
    <x v="0"/>
    <x v="0"/>
    <x v="0"/>
    <x v="1"/>
    <s v="4x1"/>
    <s v="هومزمارت"/>
    <x v="3"/>
    <s v="رمادى"/>
    <n v="21999"/>
    <s v="مسبق الدفع"/>
    <x v="22"/>
    <d v="2024-09-30T00:00:00"/>
    <x v="1"/>
    <d v="2024-10-03T00:00:00"/>
    <n v="-3"/>
    <x v="0"/>
    <s v="محمود على "/>
    <x v="0"/>
  </r>
  <r>
    <x v="27"/>
    <s v="فرد"/>
    <x v="2"/>
    <x v="0"/>
    <x v="5"/>
    <x v="0"/>
    <s v="فردى"/>
    <s v="كينج"/>
    <x v="6"/>
    <s v="خشب بنى فاتح"/>
    <n v="5135"/>
    <s v="مسبق الدفع"/>
    <x v="23"/>
    <d v="2024-11-17T00:00:00"/>
    <x v="0"/>
    <d v="2024-11-14T00:00:00"/>
    <n v="-3"/>
    <x v="0"/>
    <s v="محمود على "/>
    <x v="0"/>
  </r>
  <r>
    <x v="28"/>
    <s v="فرد"/>
    <x v="8"/>
    <x v="0"/>
    <x v="0"/>
    <x v="0"/>
    <s v="دورين"/>
    <s v="كينج"/>
    <x v="0"/>
    <s v="غير محدد"/>
    <n v="12919"/>
    <s v="مسبق الدفع"/>
    <x v="24"/>
    <d v="2024-11-30T00:00:00"/>
    <x v="3"/>
    <d v="2024-11-27T00:00:00"/>
    <n v="-3"/>
    <x v="0"/>
    <s v="محمود على "/>
    <x v="0"/>
  </r>
  <r>
    <x v="22"/>
    <s v="شركه"/>
    <x v="13"/>
    <x v="3"/>
    <x v="4"/>
    <x v="0"/>
    <s v="دورين"/>
    <s v="نوفال"/>
    <x v="1"/>
    <s v="غير محدد"/>
    <n v="6376"/>
    <s v="حساب شركه"/>
    <x v="24"/>
    <d v="2024-11-27T00:00:00"/>
    <x v="3"/>
    <d v="2024-11-25T00:00:00"/>
    <n v="-2"/>
    <x v="0"/>
    <s v="محمود على "/>
    <x v="0"/>
  </r>
  <r>
    <x v="22"/>
    <s v="شركه"/>
    <x v="13"/>
    <x v="3"/>
    <x v="4"/>
    <x v="0"/>
    <s v="دورين "/>
    <s v="نوفال"/>
    <x v="3"/>
    <s v="غير محدد"/>
    <n v="5294"/>
    <s v="حساب شركه"/>
    <x v="24"/>
    <d v="2024-11-27T00:00:00"/>
    <x v="3"/>
    <d v="2024-11-25T00:00:00"/>
    <n v="-2"/>
    <x v="0"/>
    <s v="محمود على "/>
    <x v="0"/>
  </r>
  <r>
    <x v="29"/>
    <s v="فرد"/>
    <x v="9"/>
    <x v="3"/>
    <x v="6"/>
    <x v="0"/>
    <s v="دورين "/>
    <s v="كينج"/>
    <x v="0"/>
    <s v="غير محدد"/>
    <n v="7396"/>
    <s v="مسبق الدفع"/>
    <x v="25"/>
    <d v="2024-11-28T00:00:00"/>
    <x v="3"/>
    <d v="2024-11-26T00:00:00"/>
    <n v="-2"/>
    <x v="0"/>
    <s v="محمود على "/>
    <x v="0"/>
  </r>
  <r>
    <x v="30"/>
    <s v="فرد"/>
    <x v="8"/>
    <x v="0"/>
    <x v="3"/>
    <x v="1"/>
    <s v="4x1"/>
    <s v="شيك هومز "/>
    <x v="3"/>
    <s v="رمادى"/>
    <n v="12000"/>
    <s v="كاش"/>
    <x v="26"/>
    <d v="2024-08-20T00:00:00"/>
    <x v="4"/>
    <d v="2024-08-19T00:00:00"/>
    <n v="-1"/>
    <x v="0"/>
    <s v="شركه شحن "/>
    <x v="0"/>
  </r>
  <r>
    <x v="31"/>
    <s v="فرد"/>
    <x v="8"/>
    <x v="0"/>
    <x v="4"/>
    <x v="0"/>
    <s v="دورين"/>
    <s v="كينج"/>
    <x v="3"/>
    <s v="غير محدد"/>
    <n v="6180"/>
    <s v="كاش"/>
    <x v="27"/>
    <d v="2024-09-16T00:00:00"/>
    <x v="1"/>
    <d v="2024-09-15T00:00:00"/>
    <n v="-1"/>
    <x v="0"/>
    <s v="محمود على "/>
    <x v="0"/>
  </r>
  <r>
    <x v="31"/>
    <s v="فرد"/>
    <x v="8"/>
    <x v="0"/>
    <x v="4"/>
    <x v="0"/>
    <s v="دورين"/>
    <s v="كينج"/>
    <x v="3"/>
    <s v="غير محدد"/>
    <n v="6180"/>
    <s v="كاش"/>
    <x v="27"/>
    <d v="2024-09-16T00:00:00"/>
    <x v="1"/>
    <d v="2024-09-15T00:00:00"/>
    <n v="-1"/>
    <x v="0"/>
    <s v="محمود على "/>
    <x v="0"/>
  </r>
  <r>
    <x v="11"/>
    <s v="شركه"/>
    <x v="8"/>
    <x v="0"/>
    <x v="1"/>
    <x v="1"/>
    <s v="4x1"/>
    <s v="شيك هومز "/>
    <x v="3"/>
    <s v="نبيتى "/>
    <n v="14950"/>
    <s v="مسبق الدفع"/>
    <x v="5"/>
    <d v="2024-10-14T00:00:00"/>
    <x v="1"/>
    <d v="2024-10-13T00:00:00"/>
    <n v="-1"/>
    <x v="0"/>
    <s v="محمود على "/>
    <x v="0"/>
  </r>
  <r>
    <x v="32"/>
    <s v="فرد"/>
    <x v="8"/>
    <x v="0"/>
    <x v="5"/>
    <x v="0"/>
    <s v="فردى"/>
    <s v="فورجينا"/>
    <x v="0"/>
    <s v="غير محدد"/>
    <n v="4520"/>
    <s v="حساب شركه"/>
    <x v="28"/>
    <d v="2024-11-22T00:00:00"/>
    <x v="3"/>
    <d v="2024-11-21T00:00:00"/>
    <n v="-1"/>
    <x v="0"/>
    <s v="محمود على "/>
    <x v="0"/>
  </r>
  <r>
    <x v="22"/>
    <s v="شركه"/>
    <x v="13"/>
    <x v="3"/>
    <x v="4"/>
    <x v="0"/>
    <s v="دورين"/>
    <s v="كينج"/>
    <x v="3"/>
    <s v="غير محدد"/>
    <n v="5766"/>
    <s v="حساب شركه"/>
    <x v="29"/>
    <d v="2024-11-26T00:00:00"/>
    <x v="3"/>
    <d v="2024-11-25T00:00:00"/>
    <n v="-1"/>
    <x v="0"/>
    <s v="محمود على "/>
    <x v="0"/>
  </r>
  <r>
    <x v="33"/>
    <s v="فرد"/>
    <x v="17"/>
    <x v="5"/>
    <x v="0"/>
    <x v="0"/>
    <s v="دورين"/>
    <s v="كينج"/>
    <x v="5"/>
    <s v="غير محدد"/>
    <n v="11455"/>
    <s v="كاش"/>
    <x v="19"/>
    <s v="الغردقه "/>
    <x v="5"/>
    <s v="فشل التسليم"/>
    <n v="0"/>
    <x v="1"/>
    <s v="فشل التسليم"/>
    <x v="1"/>
  </r>
  <r>
    <x v="34"/>
    <s v="فرد"/>
    <x v="17"/>
    <x v="5"/>
    <x v="0"/>
    <x v="0"/>
    <s v="دورين"/>
    <s v="نوفال"/>
    <x v="1"/>
    <s v="غير محدد"/>
    <n v="12833"/>
    <s v="كاش"/>
    <x v="30"/>
    <d v="2024-08-31T00:00:00"/>
    <x v="4"/>
    <s v="فشل التسليم"/>
    <n v="0"/>
    <x v="1"/>
    <s v="فشل التسليم"/>
    <x v="1"/>
  </r>
  <r>
    <x v="35"/>
    <s v="فرد"/>
    <x v="9"/>
    <x v="3"/>
    <x v="0"/>
    <x v="0"/>
    <s v="فردى"/>
    <s v="نوفال"/>
    <x v="0"/>
    <s v="غير محدد"/>
    <n v="7295"/>
    <s v="كاش"/>
    <x v="31"/>
    <d v="2024-09-14T00:00:00"/>
    <x v="1"/>
    <s v="فشل التسليم"/>
    <n v="0"/>
    <x v="1"/>
    <s v="فشل التسليم"/>
    <x v="1"/>
  </r>
  <r>
    <x v="36"/>
    <s v="فرد"/>
    <x v="2"/>
    <x v="0"/>
    <x v="0"/>
    <x v="2"/>
    <s v="2 ميكانزم"/>
    <s v="هومزمارت"/>
    <x v="3"/>
    <s v="غير محدد"/>
    <n v="7849"/>
    <s v="مسبق الدفع"/>
    <x v="32"/>
    <d v="2024-09-16T00:00:00"/>
    <x v="1"/>
    <s v="فشل التسليم"/>
    <n v="0"/>
    <x v="1"/>
    <s v="شركه شحن "/>
    <x v="2"/>
  </r>
  <r>
    <x v="37"/>
    <s v="فرد"/>
    <x v="18"/>
    <x v="0"/>
    <x v="0"/>
    <x v="0"/>
    <s v="دورين"/>
    <s v="كينج"/>
    <x v="0"/>
    <s v="غير محدد"/>
    <n v="11199"/>
    <s v="كاش"/>
    <x v="32"/>
    <d v="2024-09-18T00:00:00"/>
    <x v="1"/>
    <s v="فشل التسليم"/>
    <n v="0"/>
    <x v="1"/>
    <s v="فشل التسليم"/>
    <x v="1"/>
  </r>
  <r>
    <x v="38"/>
    <s v="فرد"/>
    <x v="3"/>
    <x v="0"/>
    <x v="0"/>
    <x v="2"/>
    <s v="2 ميكانزم"/>
    <s v="هومزمارت"/>
    <x v="3"/>
    <s v="غير محدد"/>
    <n v="8849"/>
    <s v="مسبق الدفع"/>
    <x v="27"/>
    <d v="2024-10-16T00:00:00"/>
    <x v="1"/>
    <s v="فشل التسليم"/>
    <n v="0"/>
    <x v="1"/>
    <s v="فشل التسليم"/>
    <x v="1"/>
  </r>
  <r>
    <x v="39"/>
    <s v="فرد"/>
    <x v="19"/>
    <x v="6"/>
    <x v="0"/>
    <x v="0"/>
    <s v="منطبق"/>
    <s v="هومزمارت"/>
    <x v="3"/>
    <s v="اسود"/>
    <n v="9399"/>
    <s v="كاش"/>
    <x v="1"/>
    <d v="2024-09-22T00:00:00"/>
    <x v="1"/>
    <s v="فشل التسليم"/>
    <n v="0"/>
    <x v="1"/>
    <s v="فشل التسليم"/>
    <x v="1"/>
  </r>
  <r>
    <x v="40"/>
    <s v="فرد"/>
    <x v="20"/>
    <x v="3"/>
    <x v="3"/>
    <x v="0"/>
    <s v="ثلاثه ادوار"/>
    <s v="كينج"/>
    <x v="3"/>
    <s v="غير محدد"/>
    <n v="9450"/>
    <s v="كاش"/>
    <x v="21"/>
    <d v="2024-09-26T00:00:00"/>
    <x v="1"/>
    <s v="فشل التسليم"/>
    <n v="0"/>
    <x v="1"/>
    <s v="فشل التسليم"/>
    <x v="1"/>
  </r>
  <r>
    <x v="41"/>
    <s v="فرد"/>
    <x v="1"/>
    <x v="0"/>
    <x v="0"/>
    <x v="0"/>
    <s v="دورين"/>
    <s v="نوفال"/>
    <x v="3"/>
    <s v="غير محدد"/>
    <n v="5999"/>
    <s v="مسبق الدفع"/>
    <x v="21"/>
    <d v="2024-09-29T00:00:00"/>
    <x v="1"/>
    <s v="فشل التسليم"/>
    <n v="0"/>
    <x v="1"/>
    <s v="فشل التسليم"/>
    <x v="1"/>
  </r>
  <r>
    <x v="42"/>
    <s v="فرد"/>
    <x v="21"/>
    <x v="0"/>
    <x v="0"/>
    <x v="0"/>
    <s v="فردى"/>
    <s v="فورجينا"/>
    <x v="0"/>
    <s v="غير محدد"/>
    <n v="17886"/>
    <s v="كاش"/>
    <x v="1"/>
    <d v="2024-10-29T00:00:00"/>
    <x v="1"/>
    <s v="فشل التسليم"/>
    <n v="0"/>
    <x v="1"/>
    <s v="فشل التسليم"/>
    <x v="1"/>
  </r>
  <r>
    <x v="42"/>
    <s v="فرد"/>
    <x v="21"/>
    <x v="0"/>
    <x v="0"/>
    <x v="0"/>
    <s v="فردى"/>
    <s v="فورجينا"/>
    <x v="0"/>
    <s v="غير محدد"/>
    <n v="17886"/>
    <s v="كاش"/>
    <x v="1"/>
    <d v="2024-10-29T00:00:00"/>
    <x v="1"/>
    <s v="فشل التسليم"/>
    <n v="0"/>
    <x v="1"/>
    <s v="فشل التسليم"/>
    <x v="1"/>
  </r>
  <r>
    <x v="43"/>
    <s v="فرد"/>
    <x v="22"/>
    <x v="4"/>
    <x v="0"/>
    <x v="1"/>
    <s v="4x1"/>
    <s v="هومزمارت"/>
    <x v="3"/>
    <s v="رمادى"/>
    <n v="21999"/>
    <s v="مسبق الدفع"/>
    <x v="1"/>
    <d v="2024-11-20T00:00:00"/>
    <x v="1"/>
    <s v="فشل التسليم"/>
    <n v="0"/>
    <x v="1"/>
    <s v="فشل التسليم"/>
    <x v="1"/>
  </r>
  <r>
    <x v="44"/>
    <s v="فرد"/>
    <x v="9"/>
    <x v="3"/>
    <x v="0"/>
    <x v="2"/>
    <s v="رف سحاب"/>
    <s v="هومزمارت"/>
    <x v="3"/>
    <s v="غير محدد"/>
    <n v="8349"/>
    <s v="كاش"/>
    <x v="5"/>
    <d v="2024-11-10T00:00:00"/>
    <x v="1"/>
    <s v="فشل التسليم"/>
    <n v="0"/>
    <x v="1"/>
    <s v="فشل التسليم"/>
    <x v="1"/>
  </r>
  <r>
    <x v="11"/>
    <s v="شركه"/>
    <x v="8"/>
    <x v="0"/>
    <x v="1"/>
    <x v="0"/>
    <s v="دورين"/>
    <s v="كينج"/>
    <x v="3"/>
    <s v="غير محدد"/>
    <n v="9208"/>
    <s v="كاش"/>
    <x v="5"/>
    <d v="2024-10-14T00:00:00"/>
    <x v="1"/>
    <s v="فشل التسليم"/>
    <n v="0"/>
    <x v="1"/>
    <s v="فشل التسليم"/>
    <x v="1"/>
  </r>
  <r>
    <x v="22"/>
    <s v="شركه"/>
    <x v="13"/>
    <x v="3"/>
    <x v="4"/>
    <x v="0"/>
    <s v="فردى"/>
    <s v="فورجينا"/>
    <x v="0"/>
    <s v="غير محدد"/>
    <n v="4020"/>
    <s v="حساب شركه"/>
    <x v="33"/>
    <d v="2024-10-12T00:00:00"/>
    <x v="1"/>
    <d v="2024-10-12T00:00:00"/>
    <n v="0"/>
    <x v="0"/>
    <s v="محمود على "/>
    <x v="0"/>
  </r>
  <r>
    <x v="45"/>
    <s v="فرد"/>
    <x v="23"/>
    <x v="6"/>
    <x v="7"/>
    <x v="0"/>
    <s v="دورين"/>
    <s v="فانتاستك"/>
    <x v="7"/>
    <s v="غير محدد"/>
    <n v="8544"/>
    <s v="كاش"/>
    <x v="34"/>
    <d v="2024-10-09T00:00:00"/>
    <x v="0"/>
    <d v="2024-10-09T00:00:00"/>
    <n v="0"/>
    <x v="0"/>
    <s v="معرفه الحج سيد "/>
    <x v="0"/>
  </r>
  <r>
    <x v="45"/>
    <s v="فرد"/>
    <x v="23"/>
    <x v="6"/>
    <x v="7"/>
    <x v="0"/>
    <s v="منطبق"/>
    <s v="كينج"/>
    <x v="3"/>
    <s v="بيج"/>
    <n v="4600"/>
    <s v="كاش"/>
    <x v="34"/>
    <d v="2024-10-09T00:00:00"/>
    <x v="0"/>
    <d v="2024-10-09T00:00:00"/>
    <n v="0"/>
    <x v="0"/>
    <s v="معرفه الحج سيد "/>
    <x v="0"/>
  </r>
  <r>
    <x v="45"/>
    <s v="فرد"/>
    <x v="23"/>
    <x v="6"/>
    <x v="7"/>
    <x v="1"/>
    <s v="فنيسيا"/>
    <s v="شيك هومز "/>
    <x v="3"/>
    <s v="رصاصي مشجر"/>
    <n v="10000"/>
    <s v="كاش"/>
    <x v="34"/>
    <d v="2024-10-09T00:00:00"/>
    <x v="0"/>
    <d v="2024-10-09T00:00:00"/>
    <n v="0"/>
    <x v="0"/>
    <s v="معرفه الحج سيد "/>
    <x v="0"/>
  </r>
  <r>
    <x v="45"/>
    <s v="فرد"/>
    <x v="23"/>
    <x v="6"/>
    <x v="7"/>
    <x v="1"/>
    <s v="شيزلونج"/>
    <s v="شيك هومز "/>
    <x v="3"/>
    <s v="نبيتى "/>
    <n v="13918"/>
    <s v="كاش"/>
    <x v="34"/>
    <d v="2024-10-09T00:00:00"/>
    <x v="0"/>
    <d v="2024-10-09T00:00:00"/>
    <n v="0"/>
    <x v="0"/>
    <s v="معرفه الحج سيد "/>
    <x v="0"/>
  </r>
  <r>
    <x v="46"/>
    <s v="فرد"/>
    <x v="24"/>
    <x v="0"/>
    <x v="0"/>
    <x v="0"/>
    <s v="منطبق"/>
    <s v="هومزمارت"/>
    <x v="3"/>
    <s v="اسود"/>
    <n v="8899"/>
    <s v="كاش"/>
    <x v="35"/>
    <d v="2024-11-17T00:00:00"/>
    <x v="0"/>
    <s v="فشل التسليم"/>
    <n v="0"/>
    <x v="1"/>
    <s v="فشل التسليم"/>
    <x v="1"/>
  </r>
  <r>
    <x v="22"/>
    <s v="شركه"/>
    <x v="18"/>
    <x v="0"/>
    <x v="4"/>
    <x v="0"/>
    <s v="دورين"/>
    <s v="فانتاستك"/>
    <x v="7"/>
    <s v="غير محدد"/>
    <n v="8544.91"/>
    <s v="حساب شركه"/>
    <x v="36"/>
    <s v="اقرب وقت "/>
    <x v="0"/>
    <s v="فشل التسليم"/>
    <n v="0"/>
    <x v="1"/>
    <s v="فشل التسليم"/>
    <x v="1"/>
  </r>
  <r>
    <x v="11"/>
    <s v="شركه"/>
    <x v="8"/>
    <x v="0"/>
    <x v="1"/>
    <x v="0"/>
    <s v="دورين"/>
    <s v="كينج"/>
    <x v="3"/>
    <s v="غير محدد"/>
    <n v="10045"/>
    <s v="كاش"/>
    <x v="37"/>
    <d v="2024-11-16T00:00:00"/>
    <x v="0"/>
    <s v="فشل التسليم"/>
    <n v="0"/>
    <x v="1"/>
    <s v="فشل التسليم"/>
    <x v="1"/>
  </r>
  <r>
    <x v="13"/>
    <s v="شركه"/>
    <x v="6"/>
    <x v="0"/>
    <x v="2"/>
    <x v="0"/>
    <s v="فردى "/>
    <s v="امريكى"/>
    <x v="3"/>
    <s v="غير محدد"/>
    <n v="5100"/>
    <s v="حساب شركه"/>
    <x v="24"/>
    <d v="2024-12-08T00:00:00"/>
    <x v="3"/>
    <s v="فشل التسليم"/>
    <n v="0"/>
    <x v="1"/>
    <s v="فشل التسليم"/>
    <x v="1"/>
  </r>
  <r>
    <x v="47"/>
    <s v="فرد"/>
    <x v="25"/>
    <x v="2"/>
    <x v="0"/>
    <x v="0"/>
    <s v="دورين"/>
    <s v="كينج"/>
    <x v="3"/>
    <s v="غير محدد"/>
    <n v="14905"/>
    <s v="مسبق الدفع"/>
    <x v="38"/>
    <d v="2024-12-15T00:00:00"/>
    <x v="3"/>
    <s v="فشل التسليم"/>
    <n v="0"/>
    <x v="1"/>
    <s v="فشل التسليم"/>
    <x v="1"/>
  </r>
  <r>
    <x v="48"/>
    <s v="فرد"/>
    <x v="0"/>
    <x v="0"/>
    <x v="0"/>
    <x v="2"/>
    <s v="دوران "/>
    <s v="هومزمارت"/>
    <x v="3"/>
    <s v="بنى غامق"/>
    <n v="10249"/>
    <s v="مسبق الدفع"/>
    <x v="39"/>
    <d v="2024-12-12T00:00:00"/>
    <x v="3"/>
    <s v="فشل التسليم"/>
    <n v="0"/>
    <x v="1"/>
    <s v="فشل التسليم"/>
    <x v="1"/>
  </r>
  <r>
    <x v="48"/>
    <s v="فرد"/>
    <x v="0"/>
    <x v="0"/>
    <x v="0"/>
    <x v="2"/>
    <s v="رف سحاب"/>
    <s v="هومزمارت"/>
    <x v="3"/>
    <s v="بنى غامق "/>
    <n v="9029"/>
    <s v="مسبق الدفع"/>
    <x v="39"/>
    <d v="2024-12-12T00:00:00"/>
    <x v="3"/>
    <s v="فشل التسليم"/>
    <n v="0"/>
    <x v="1"/>
    <s v="فشل التسليم"/>
    <x v="1"/>
  </r>
  <r>
    <x v="49"/>
    <s v="فرد"/>
    <x v="19"/>
    <x v="6"/>
    <x v="0"/>
    <x v="2"/>
    <s v="2 ميكانزم"/>
    <s v="هومزمارت"/>
    <x v="3"/>
    <s v="بيج "/>
    <n v="9029"/>
    <s v="مسبق الدفع"/>
    <x v="39"/>
    <d v="2024-12-12T00:00:00"/>
    <x v="3"/>
    <s v="فشل التسليم"/>
    <n v="0"/>
    <x v="1"/>
    <s v="فشل التسليم"/>
    <x v="1"/>
  </r>
  <r>
    <x v="50"/>
    <s v="فرد"/>
    <x v="16"/>
    <x v="0"/>
    <x v="0"/>
    <x v="0"/>
    <s v="دورين "/>
    <s v="نوفال"/>
    <x v="0"/>
    <s v="غير محدد"/>
    <n v="12099"/>
    <s v="مسبق الدفع"/>
    <x v="40"/>
    <d v="2024-12-17T00:00:00"/>
    <x v="2"/>
    <s v="فشل التسليم"/>
    <n v="0"/>
    <x v="1"/>
    <s v="فشل التسليم"/>
    <x v="1"/>
  </r>
  <r>
    <x v="22"/>
    <s v="شركه"/>
    <x v="13"/>
    <x v="3"/>
    <x v="4"/>
    <x v="0"/>
    <s v="فردى"/>
    <s v="فورجينا"/>
    <x v="0"/>
    <s v="غير محدد"/>
    <n v="4020"/>
    <s v="حساب شركه"/>
    <x v="21"/>
    <d v="2024-09-21T00:00:00"/>
    <x v="1"/>
    <d v="2024-09-22T00:00:00"/>
    <n v="1"/>
    <x v="2"/>
    <s v="محمود على "/>
    <x v="0"/>
  </r>
  <r>
    <x v="22"/>
    <s v="شركه"/>
    <x v="13"/>
    <x v="3"/>
    <x v="4"/>
    <x v="0"/>
    <s v="فردى"/>
    <s v="فورجينا"/>
    <x v="0"/>
    <s v="غير محدد"/>
    <n v="4020"/>
    <s v="حساب شركه"/>
    <x v="21"/>
    <d v="2024-09-21T00:00:00"/>
    <x v="1"/>
    <d v="2024-09-22T00:00:00"/>
    <n v="1"/>
    <x v="2"/>
    <s v="محمود على "/>
    <x v="0"/>
  </r>
  <r>
    <x v="22"/>
    <s v="شركه"/>
    <x v="13"/>
    <x v="3"/>
    <x v="4"/>
    <x v="0"/>
    <s v="فردى"/>
    <s v="ارفيل"/>
    <x v="3"/>
    <s v="غير محدد"/>
    <n v="4020"/>
    <s v="كاش"/>
    <x v="21"/>
    <d v="2024-09-21T00:00:00"/>
    <x v="1"/>
    <d v="2024-09-22T00:00:00"/>
    <n v="1"/>
    <x v="2"/>
    <s v="محمود على "/>
    <x v="0"/>
  </r>
  <r>
    <x v="22"/>
    <s v="شركه"/>
    <x v="13"/>
    <x v="3"/>
    <x v="4"/>
    <x v="0"/>
    <s v="فردى"/>
    <s v="ارفيل"/>
    <x v="3"/>
    <s v="غير محدد"/>
    <n v="4020"/>
    <s v="كاش"/>
    <x v="21"/>
    <d v="2024-09-21T00:00:00"/>
    <x v="1"/>
    <d v="2024-09-22T00:00:00"/>
    <n v="1"/>
    <x v="2"/>
    <s v="محمود على "/>
    <x v="0"/>
  </r>
  <r>
    <x v="51"/>
    <s v="فرد"/>
    <x v="2"/>
    <x v="0"/>
    <x v="0"/>
    <x v="2"/>
    <s v="بمكتبة"/>
    <s v="هومزمارت"/>
    <x v="3"/>
    <s v="غير محدد"/>
    <n v="7849"/>
    <s v="مسبق الدفع"/>
    <x v="1"/>
    <d v="2024-10-29T00:00:00"/>
    <x v="1"/>
    <d v="2024-10-30T00:00:00"/>
    <n v="1"/>
    <x v="2"/>
    <s v="محمود على "/>
    <x v="0"/>
  </r>
  <r>
    <x v="11"/>
    <s v="شركه"/>
    <x v="8"/>
    <x v="0"/>
    <x v="1"/>
    <x v="0"/>
    <s v="فردى"/>
    <s v="اسبانى"/>
    <x v="0"/>
    <s v="غير محدد"/>
    <n v="7433"/>
    <s v="مسبق الدفع"/>
    <x v="33"/>
    <d v="2024-10-20T00:00:00"/>
    <x v="1"/>
    <d v="2024-10-21T00:00:00"/>
    <n v="1"/>
    <x v="2"/>
    <s v="محمود على "/>
    <x v="0"/>
  </r>
  <r>
    <x v="11"/>
    <s v="شركه"/>
    <x v="8"/>
    <x v="0"/>
    <x v="1"/>
    <x v="1"/>
    <s v="4x1"/>
    <s v="شيك هومز "/>
    <x v="3"/>
    <s v="بترولى "/>
    <n v="14550"/>
    <s v="مسبق الدفع"/>
    <x v="41"/>
    <d v="2024-10-29T00:00:00"/>
    <x v="0"/>
    <d v="2024-10-30T00:00:00"/>
    <n v="1"/>
    <x v="2"/>
    <s v="محمود على "/>
    <x v="0"/>
  </r>
  <r>
    <x v="52"/>
    <s v="فرد"/>
    <x v="26"/>
    <x v="0"/>
    <x v="0"/>
    <x v="0"/>
    <s v="دورين"/>
    <s v="كينج"/>
    <x v="0"/>
    <s v="غير محدد"/>
    <n v="12099"/>
    <s v="مسبق الدفع"/>
    <x v="42"/>
    <d v="2024-11-26T00:00:00"/>
    <x v="3"/>
    <d v="2024-11-27T00:00:00"/>
    <n v="1"/>
    <x v="2"/>
    <s v="محمود على "/>
    <x v="0"/>
  </r>
  <r>
    <x v="53"/>
    <s v="فرد"/>
    <x v="9"/>
    <x v="3"/>
    <x v="0"/>
    <x v="0"/>
    <s v="دورين"/>
    <s v="نوفال"/>
    <x v="3"/>
    <s v="غير محدد"/>
    <n v="13099"/>
    <s v="كاش"/>
    <x v="17"/>
    <d v="2024-12-28T00:00:00"/>
    <x v="2"/>
    <d v="2024-12-29T00:00:00"/>
    <n v="1"/>
    <x v="2"/>
    <s v="محمود على "/>
    <x v="0"/>
  </r>
  <r>
    <x v="11"/>
    <s v="شركه"/>
    <x v="8"/>
    <x v="0"/>
    <x v="1"/>
    <x v="1"/>
    <s v="4x1"/>
    <s v="شيك هومز "/>
    <x v="3"/>
    <s v="رمادى"/>
    <n v="14550"/>
    <s v="مسبق الدفع"/>
    <x v="43"/>
    <d v="2024-09-03T00:00:00"/>
    <x v="4"/>
    <d v="2024-09-05T00:00:00"/>
    <n v="2"/>
    <x v="2"/>
    <s v="شركه شحن "/>
    <x v="0"/>
  </r>
  <r>
    <x v="13"/>
    <s v="شركه"/>
    <x v="6"/>
    <x v="0"/>
    <x v="2"/>
    <x v="1"/>
    <s v="سحارة"/>
    <s v="تاكى"/>
    <x v="3"/>
    <s v="غير محدد"/>
    <n v="6000"/>
    <s v="كاش"/>
    <x v="12"/>
    <d v="2024-09-15T00:00:00"/>
    <x v="4"/>
    <d v="2024-09-17T00:00:00"/>
    <n v="2"/>
    <x v="2"/>
    <s v="محمود على "/>
    <x v="0"/>
  </r>
  <r>
    <x v="13"/>
    <s v="شركه"/>
    <x v="6"/>
    <x v="0"/>
    <x v="2"/>
    <x v="1"/>
    <s v="سحارة"/>
    <s v="تاكى"/>
    <x v="3"/>
    <s v="غير محدد"/>
    <n v="6000"/>
    <s v="كاش"/>
    <x v="12"/>
    <d v="2024-09-15T00:00:00"/>
    <x v="4"/>
    <d v="2024-09-17T00:00:00"/>
    <n v="2"/>
    <x v="2"/>
    <s v="محمود على "/>
    <x v="0"/>
  </r>
  <r>
    <x v="13"/>
    <s v="شركه"/>
    <x v="6"/>
    <x v="0"/>
    <x v="2"/>
    <x v="3"/>
    <s v="فنيسيا"/>
    <s v="تاكى"/>
    <x v="3"/>
    <s v="غير محدد"/>
    <n v="9300"/>
    <s v="كاش"/>
    <x v="32"/>
    <d v="2024-09-15T00:00:00"/>
    <x v="1"/>
    <d v="2024-09-17T00:00:00"/>
    <n v="2"/>
    <x v="2"/>
    <s v="محمود على "/>
    <x v="0"/>
  </r>
  <r>
    <x v="11"/>
    <s v="شركه"/>
    <x v="8"/>
    <x v="0"/>
    <x v="1"/>
    <x v="0"/>
    <s v="دورين"/>
    <s v="كينج"/>
    <x v="0"/>
    <s v="غير محدد"/>
    <n v="9208"/>
    <s v="كاش"/>
    <x v="14"/>
    <d v="2024-09-19T00:00:00"/>
    <x v="1"/>
    <d v="2024-09-21T00:00:00"/>
    <n v="2"/>
    <x v="2"/>
    <s v="محمود على "/>
    <x v="0"/>
  </r>
  <r>
    <x v="11"/>
    <s v="شركه"/>
    <x v="8"/>
    <x v="0"/>
    <x v="1"/>
    <x v="0"/>
    <s v="دورين"/>
    <s v="كينج"/>
    <x v="3"/>
    <s v="غير محدد"/>
    <n v="9208"/>
    <s v="كاش"/>
    <x v="14"/>
    <d v="2024-09-19T00:00:00"/>
    <x v="1"/>
    <d v="2024-09-21T00:00:00"/>
    <n v="2"/>
    <x v="2"/>
    <s v="محمود على "/>
    <x v="0"/>
  </r>
  <r>
    <x v="54"/>
    <s v="فرد"/>
    <x v="27"/>
    <x v="2"/>
    <x v="0"/>
    <x v="2"/>
    <s v="رف سحاب"/>
    <s v="هومزمارت"/>
    <x v="3"/>
    <s v="غير محدد"/>
    <n v="8349"/>
    <s v="كاش"/>
    <x v="1"/>
    <d v="2024-09-22T00:00:00"/>
    <x v="1"/>
    <d v="2024-09-24T00:00:00"/>
    <n v="2"/>
    <x v="2"/>
    <s v="شركه شحن "/>
    <x v="0"/>
  </r>
  <r>
    <x v="11"/>
    <s v="شركه"/>
    <x v="8"/>
    <x v="0"/>
    <x v="1"/>
    <x v="1"/>
    <s v="4x1"/>
    <s v="شيك هومز "/>
    <x v="3"/>
    <s v="نبيتى "/>
    <n v="14550"/>
    <s v="كاش"/>
    <x v="44"/>
    <d v="2024-10-31T00:00:00"/>
    <x v="0"/>
    <d v="2024-11-02T00:00:00"/>
    <n v="2"/>
    <x v="2"/>
    <s v="محمود على "/>
    <x v="0"/>
  </r>
  <r>
    <x v="55"/>
    <s v="فرد"/>
    <x v="28"/>
    <x v="0"/>
    <x v="0"/>
    <x v="0"/>
    <s v="دورين"/>
    <s v="كينج"/>
    <x v="3"/>
    <s v="غير محدد"/>
    <n v="11949"/>
    <s v="كاش"/>
    <x v="21"/>
    <d v="2024-09-29T00:00:00"/>
    <x v="1"/>
    <d v="2024-10-02T00:00:00"/>
    <n v="3"/>
    <x v="2"/>
    <s v="محمود على "/>
    <x v="0"/>
  </r>
  <r>
    <x v="55"/>
    <s v="فرد"/>
    <x v="28"/>
    <x v="0"/>
    <x v="0"/>
    <x v="0"/>
    <s v="دورين"/>
    <s v="كينج"/>
    <x v="3"/>
    <s v="غير محدد"/>
    <n v="11949"/>
    <s v="كاش"/>
    <x v="21"/>
    <d v="2024-09-29T00:00:00"/>
    <x v="1"/>
    <d v="2024-10-02T00:00:00"/>
    <n v="3"/>
    <x v="2"/>
    <s v="محمود على "/>
    <x v="0"/>
  </r>
  <r>
    <x v="30"/>
    <s v="فرد"/>
    <x v="1"/>
    <x v="0"/>
    <x v="0"/>
    <x v="0"/>
    <s v="ثلاثه ادوار"/>
    <s v="كينج"/>
    <x v="0"/>
    <s v="غير محدد"/>
    <n v="16599"/>
    <s v="مسبق الدفع"/>
    <x v="22"/>
    <d v="2024-09-30T00:00:00"/>
    <x v="1"/>
    <d v="2024-10-03T00:00:00"/>
    <n v="3"/>
    <x v="2"/>
    <s v="محمود على "/>
    <x v="0"/>
  </r>
  <r>
    <x v="56"/>
    <s v="فرد"/>
    <x v="19"/>
    <x v="6"/>
    <x v="0"/>
    <x v="0"/>
    <s v="دورين"/>
    <s v="كينج"/>
    <x v="5"/>
    <s v="غير محدد"/>
    <n v="13099"/>
    <s v="مسبق الدفع"/>
    <x v="22"/>
    <d v="2024-09-30T00:00:00"/>
    <x v="1"/>
    <d v="2024-10-03T00:00:00"/>
    <n v="3"/>
    <x v="2"/>
    <s v="شركه شحن "/>
    <x v="0"/>
  </r>
  <r>
    <x v="57"/>
    <s v="فرد"/>
    <x v="3"/>
    <x v="0"/>
    <x v="0"/>
    <x v="0"/>
    <s v="فردى"/>
    <s v="فورجينا"/>
    <x v="8"/>
    <s v="غير محدد"/>
    <n v="11395"/>
    <s v="مسبق الدفع"/>
    <x v="29"/>
    <d v="2024-11-24T00:00:00"/>
    <x v="3"/>
    <d v="2024-11-27T00:00:00"/>
    <n v="3"/>
    <x v="2"/>
    <s v="محمود على "/>
    <x v="0"/>
  </r>
  <r>
    <x v="58"/>
    <s v="فرد"/>
    <x v="9"/>
    <x v="3"/>
    <x v="0"/>
    <x v="0"/>
    <s v="فردى"/>
    <s v="اسبانى"/>
    <x v="0"/>
    <s v="غير محدد"/>
    <n v="10987"/>
    <s v="مسبق الدفع"/>
    <x v="45"/>
    <d v="2024-09-17T00:00:00"/>
    <x v="1"/>
    <d v="2024-09-21T00:00:00"/>
    <n v="4"/>
    <x v="2"/>
    <s v="محمود على "/>
    <x v="0"/>
  </r>
  <r>
    <x v="59"/>
    <s v="فرد"/>
    <x v="3"/>
    <x v="0"/>
    <x v="0"/>
    <x v="0"/>
    <s v="ثلاثه ادوار"/>
    <s v="كينج"/>
    <x v="3"/>
    <s v="غير محدد"/>
    <n v="17249"/>
    <s v="مسبق الدفع"/>
    <x v="22"/>
    <d v="2024-09-30T00:00:00"/>
    <x v="1"/>
    <d v="2024-10-04T00:00:00"/>
    <n v="4"/>
    <x v="2"/>
    <s v="محمود على "/>
    <x v="0"/>
  </r>
  <r>
    <x v="60"/>
    <s v="فرد"/>
    <x v="9"/>
    <x v="3"/>
    <x v="0"/>
    <x v="0"/>
    <s v="فردى"/>
    <s v="فورجينا"/>
    <x v="0"/>
    <s v="غير محدد"/>
    <n v="8943"/>
    <s v="كاش"/>
    <x v="46"/>
    <d v="2024-11-14T00:00:00"/>
    <x v="0"/>
    <d v="2024-11-18T00:00:00"/>
    <n v="4"/>
    <x v="2"/>
    <s v="محمود على "/>
    <x v="0"/>
  </r>
  <r>
    <x v="30"/>
    <s v="فرد"/>
    <x v="0"/>
    <x v="0"/>
    <x v="0"/>
    <x v="0"/>
    <s v="فردى"/>
    <s v="فورجينا"/>
    <x v="0"/>
    <s v="غير محدد"/>
    <n v="7987"/>
    <s v="مسبق الدفع"/>
    <x v="47"/>
    <d v="2024-09-16T00:00:00"/>
    <x v="1"/>
    <d v="2024-09-21T00:00:00"/>
    <n v="5"/>
    <x v="2"/>
    <s v="محمود على "/>
    <x v="0"/>
  </r>
  <r>
    <x v="30"/>
    <s v="فرد"/>
    <x v="0"/>
    <x v="0"/>
    <x v="0"/>
    <x v="0"/>
    <s v="فردى"/>
    <s v="فورجينا"/>
    <x v="0"/>
    <s v="غير محدد"/>
    <n v="7987"/>
    <s v="مسبق الدفع"/>
    <x v="47"/>
    <d v="2024-09-16T00:00:00"/>
    <x v="1"/>
    <d v="2024-09-21T00:00:00"/>
    <n v="5"/>
    <x v="2"/>
    <s v="محمود على "/>
    <x v="0"/>
  </r>
  <r>
    <x v="30"/>
    <s v="فرد"/>
    <x v="0"/>
    <x v="0"/>
    <x v="0"/>
    <x v="0"/>
    <s v="فردى"/>
    <s v="فورجينا"/>
    <x v="0"/>
    <s v="غير محدد"/>
    <n v="7987"/>
    <s v="مسبق الدفع"/>
    <x v="47"/>
    <d v="2024-09-16T00:00:00"/>
    <x v="1"/>
    <d v="2024-09-21T00:00:00"/>
    <n v="5"/>
    <x v="2"/>
    <s v="محمود على "/>
    <x v="0"/>
  </r>
  <r>
    <x v="30"/>
    <s v="فرد"/>
    <x v="0"/>
    <x v="0"/>
    <x v="0"/>
    <x v="0"/>
    <s v="فردى"/>
    <s v="فورجينا"/>
    <x v="0"/>
    <s v="غير محدد"/>
    <n v="7987"/>
    <s v="مسبق الدفع"/>
    <x v="47"/>
    <d v="2024-09-16T00:00:00"/>
    <x v="1"/>
    <d v="2024-09-21T00:00:00"/>
    <n v="5"/>
    <x v="2"/>
    <s v="محمود على "/>
    <x v="0"/>
  </r>
  <r>
    <x v="61"/>
    <s v="فرد"/>
    <x v="9"/>
    <x v="3"/>
    <x v="0"/>
    <x v="0"/>
    <s v="دورين"/>
    <s v="كينج"/>
    <x v="1"/>
    <s v="غير محدد"/>
    <n v="12999"/>
    <s v="مسبق الدفع"/>
    <x v="1"/>
    <d v="2024-09-27T00:00:00"/>
    <x v="1"/>
    <d v="2024-10-02T00:00:00"/>
    <n v="5"/>
    <x v="2"/>
    <s v="محمود على "/>
    <x v="0"/>
  </r>
  <r>
    <x v="62"/>
    <s v="فرد"/>
    <x v="29"/>
    <x v="3"/>
    <x v="0"/>
    <x v="2"/>
    <s v="2 ميكانزم"/>
    <s v="هومزمارت"/>
    <x v="3"/>
    <s v="غير محدد"/>
    <n v="8349"/>
    <s v="مسبق الدفع"/>
    <x v="1"/>
    <d v="2024-10-16T00:00:00"/>
    <x v="1"/>
    <d v="2024-10-21T00:00:00"/>
    <n v="5"/>
    <x v="2"/>
    <s v="محمود على "/>
    <x v="0"/>
  </r>
  <r>
    <x v="63"/>
    <s v="فرد"/>
    <x v="30"/>
    <x v="0"/>
    <x v="0"/>
    <x v="0"/>
    <s v="فردى "/>
    <s v="اسبانى"/>
    <x v="1"/>
    <s v="غير محدد"/>
    <n v="10885"/>
    <s v="كاش"/>
    <x v="48"/>
    <d v="2024-12-05T00:00:00"/>
    <x v="3"/>
    <d v="2024-12-10T00:00:00"/>
    <n v="5"/>
    <x v="2"/>
    <s v="محمود على "/>
    <x v="0"/>
  </r>
  <r>
    <x v="64"/>
    <s v="فرد"/>
    <x v="12"/>
    <x v="0"/>
    <x v="0"/>
    <x v="0"/>
    <s v="منطبق"/>
    <s v="هومزمارت"/>
    <x v="3"/>
    <s v="اسود"/>
    <n v="10249"/>
    <s v="كاش"/>
    <x v="49"/>
    <d v="2024-12-14T00:00:00"/>
    <x v="2"/>
    <d v="2024-12-19T00:00:00"/>
    <n v="5"/>
    <x v="2"/>
    <s v="محمود على "/>
    <x v="0"/>
  </r>
  <r>
    <x v="65"/>
    <s v="فرد"/>
    <x v="9"/>
    <x v="3"/>
    <x v="0"/>
    <x v="0"/>
    <s v="منطبق"/>
    <s v="هومزمارت"/>
    <x v="3"/>
    <s v="اسود"/>
    <n v="9399"/>
    <s v="مسبق الدفع"/>
    <x v="22"/>
    <d v="2024-09-24T00:00:00"/>
    <x v="1"/>
    <d v="2024-09-30T00:00:00"/>
    <n v="6"/>
    <x v="2"/>
    <s v="شركه شحن "/>
    <x v="0"/>
  </r>
  <r>
    <x v="11"/>
    <s v="شركه"/>
    <x v="9"/>
    <x v="3"/>
    <x v="1"/>
    <x v="0"/>
    <s v="دورين"/>
    <s v="فانتاستك"/>
    <x v="7"/>
    <s v="غير محدد"/>
    <n v="12777.5"/>
    <s v="كاش"/>
    <x v="36"/>
    <d v="2024-11-12T00:00:00"/>
    <x v="0"/>
    <d v="2024-11-18T00:00:00"/>
    <n v="6"/>
    <x v="2"/>
    <s v="محمود على "/>
    <x v="0"/>
  </r>
  <r>
    <x v="11"/>
    <s v="شركه"/>
    <x v="9"/>
    <x v="3"/>
    <x v="1"/>
    <x v="0"/>
    <s v="دورين"/>
    <s v="فانتاستك"/>
    <x v="7"/>
    <s v="غير محدد"/>
    <n v="12777.5"/>
    <s v="كاش"/>
    <x v="36"/>
    <d v="2024-11-12T00:00:00"/>
    <x v="0"/>
    <d v="2024-11-18T00:00:00"/>
    <n v="6"/>
    <x v="2"/>
    <s v="محمود على "/>
    <x v="0"/>
  </r>
  <r>
    <x v="66"/>
    <s v="فرد"/>
    <x v="9"/>
    <x v="3"/>
    <x v="0"/>
    <x v="0"/>
    <s v="فردى"/>
    <s v="هومزمارت"/>
    <x v="0"/>
    <s v="ابيض"/>
    <n v="7228"/>
    <s v="مسبق الدفع"/>
    <x v="12"/>
    <d v="2024-09-03T00:00:00"/>
    <x v="4"/>
    <d v="2024-09-10T00:00:00"/>
    <n v="7"/>
    <x v="2"/>
    <s v="شركه شحن "/>
    <x v="0"/>
  </r>
  <r>
    <x v="67"/>
    <s v="فرد"/>
    <x v="0"/>
    <x v="0"/>
    <x v="0"/>
    <x v="0"/>
    <s v="فردى"/>
    <s v="اسبانى"/>
    <x v="3"/>
    <s v="غير محدد"/>
    <n v="7460"/>
    <s v="مسبق الدفع"/>
    <x v="22"/>
    <d v="2024-09-26T00:00:00"/>
    <x v="1"/>
    <d v="2024-10-03T00:00:00"/>
    <n v="7"/>
    <x v="2"/>
    <s v="محمود على "/>
    <x v="0"/>
  </r>
  <r>
    <x v="68"/>
    <s v="فرد"/>
    <x v="0"/>
    <x v="0"/>
    <x v="0"/>
    <x v="0"/>
    <s v="فردى"/>
    <s v="كينج"/>
    <x v="4"/>
    <s v="رمادى"/>
    <n v="9528"/>
    <s v="مسبق الدفع"/>
    <x v="22"/>
    <d v="2024-09-26T00:00:00"/>
    <x v="1"/>
    <d v="2024-10-03T00:00:00"/>
    <n v="7"/>
    <x v="2"/>
    <s v="محمود على "/>
    <x v="0"/>
  </r>
  <r>
    <x v="22"/>
    <s v="شركه"/>
    <x v="13"/>
    <x v="3"/>
    <x v="4"/>
    <x v="0"/>
    <s v="دورين"/>
    <s v="كينج"/>
    <x v="0"/>
    <s v="غير محدد"/>
    <n v="5074"/>
    <s v="حساب شركه"/>
    <x v="50"/>
    <d v="2024-10-05T00:00:00"/>
    <x v="1"/>
    <d v="2024-10-12T00:00:00"/>
    <n v="7"/>
    <x v="2"/>
    <s v="محمود على "/>
    <x v="0"/>
  </r>
  <r>
    <x v="12"/>
    <s v="فرد"/>
    <x v="10"/>
    <x v="3"/>
    <x v="0"/>
    <x v="0"/>
    <s v="دورين"/>
    <s v="كينج"/>
    <x v="3"/>
    <s v="غير محدد"/>
    <n v="11649"/>
    <s v="كاش"/>
    <x v="37"/>
    <d v="2024-11-10T00:00:00"/>
    <x v="0"/>
    <d v="2024-11-18T00:00:00"/>
    <n v="8"/>
    <x v="2"/>
    <s v="محمود على "/>
    <x v="0"/>
  </r>
  <r>
    <x v="12"/>
    <s v="فرد"/>
    <x v="10"/>
    <x v="3"/>
    <x v="0"/>
    <x v="0"/>
    <s v="دورين"/>
    <s v="كينج"/>
    <x v="3"/>
    <s v="غير محدد"/>
    <n v="11649"/>
    <s v="كاش"/>
    <x v="37"/>
    <d v="2024-11-10T00:00:00"/>
    <x v="0"/>
    <d v="2024-11-18T00:00:00"/>
    <n v="8"/>
    <x v="2"/>
    <s v="محمود على "/>
    <x v="0"/>
  </r>
  <r>
    <x v="13"/>
    <s v="شركه"/>
    <x v="6"/>
    <x v="0"/>
    <x v="2"/>
    <x v="0"/>
    <s v="دورين"/>
    <s v="كينج"/>
    <x v="9"/>
    <s v="غير محدد"/>
    <n v="6250"/>
    <s v="حساب شركه"/>
    <x v="51"/>
    <d v="2024-10-08T00:00:00"/>
    <x v="1"/>
    <d v="2024-10-17T00:00:00"/>
    <n v="9"/>
    <x v="2"/>
    <s v="محمود على "/>
    <x v="0"/>
  </r>
  <r>
    <x v="13"/>
    <s v="شركه"/>
    <x v="6"/>
    <x v="0"/>
    <x v="2"/>
    <x v="0"/>
    <s v="دورين"/>
    <s v="كينج"/>
    <x v="9"/>
    <s v="غير محدد"/>
    <n v="6250"/>
    <s v="حساب شركه"/>
    <x v="51"/>
    <d v="2024-10-08T00:00:00"/>
    <x v="1"/>
    <d v="2024-10-17T00:00:00"/>
    <n v="9"/>
    <x v="2"/>
    <s v="محمود على "/>
    <x v="0"/>
  </r>
  <r>
    <x v="69"/>
    <s v="فرد"/>
    <x v="18"/>
    <x v="0"/>
    <x v="0"/>
    <x v="2"/>
    <s v="دوران "/>
    <s v="هومزمارت"/>
    <x v="0"/>
    <s v="ابيض في بنى غامق"/>
    <n v="10249"/>
    <s v="كاش"/>
    <x v="52"/>
    <d v="2024-12-10T00:00:00"/>
    <x v="3"/>
    <d v="2024-12-19T00:00:00"/>
    <n v="9"/>
    <x v="2"/>
    <s v="محمود على "/>
    <x v="0"/>
  </r>
  <r>
    <x v="70"/>
    <s v="فرد"/>
    <x v="3"/>
    <x v="0"/>
    <x v="0"/>
    <x v="0"/>
    <s v="فردى"/>
    <s v="اسبانى"/>
    <x v="0"/>
    <s v="غير محدد"/>
    <n v="5100"/>
    <s v="كاش"/>
    <x v="53"/>
    <d v="2024-11-11T00:00:00"/>
    <x v="0"/>
    <d v="2024-11-21T00:00:00"/>
    <n v="10"/>
    <x v="2"/>
    <s v="محمود على "/>
    <x v="0"/>
  </r>
  <r>
    <x v="70"/>
    <s v="فرد"/>
    <x v="3"/>
    <x v="0"/>
    <x v="0"/>
    <x v="0"/>
    <s v="فردى"/>
    <s v="اسبانى"/>
    <x v="0"/>
    <s v="غير محدد"/>
    <n v="5300"/>
    <s v="كاش"/>
    <x v="53"/>
    <d v="2024-11-11T00:00:00"/>
    <x v="0"/>
    <d v="2024-11-21T00:00:00"/>
    <n v="10"/>
    <x v="2"/>
    <s v="محمود على "/>
    <x v="0"/>
  </r>
  <r>
    <x v="71"/>
    <s v="فرد"/>
    <x v="31"/>
    <x v="2"/>
    <x v="0"/>
    <x v="2"/>
    <s v="2 ميكانزم"/>
    <s v="هومزمارت"/>
    <x v="3"/>
    <s v="غير محدد"/>
    <n v="8449"/>
    <s v="مسبق الدفع"/>
    <x v="52"/>
    <d v="2024-12-10T00:00:00"/>
    <x v="3"/>
    <d v="2024-12-23T00:00:00"/>
    <n v="13"/>
    <x v="2"/>
    <s v="شركه شحن "/>
    <x v="0"/>
  </r>
  <r>
    <x v="72"/>
    <s v="فرد"/>
    <x v="9"/>
    <x v="3"/>
    <x v="0"/>
    <x v="0"/>
    <s v="دورين"/>
    <s v="كينج"/>
    <x v="0"/>
    <s v="غير محدد"/>
    <n v="10999"/>
    <s v="مسبق الدفع"/>
    <x v="22"/>
    <d v="2024-09-30T00:00:00"/>
    <x v="1"/>
    <d v="2024-10-15T00:00:00"/>
    <n v="15"/>
    <x v="2"/>
    <s v="محمود على "/>
    <x v="0"/>
  </r>
  <r>
    <x v="73"/>
    <s v="فرد"/>
    <x v="19"/>
    <x v="6"/>
    <x v="0"/>
    <x v="2"/>
    <s v="2 ميكانزم"/>
    <s v="هومزمارت"/>
    <x v="3"/>
    <s v="غير محدد"/>
    <n v="7849"/>
    <s v="كاش"/>
    <x v="3"/>
    <d v="2024-10-30T00:00:00"/>
    <x v="1"/>
    <d v="2024-11-14T00:00:00"/>
    <n v="15"/>
    <x v="2"/>
    <s v="شركه شحن "/>
    <x v="0"/>
  </r>
  <r>
    <x v="13"/>
    <s v="شركه"/>
    <x v="6"/>
    <x v="0"/>
    <x v="2"/>
    <x v="4"/>
    <s v="ركنة بسرير"/>
    <s v="تاكى"/>
    <x v="3"/>
    <s v="غير محدد"/>
    <n v="22000"/>
    <s v="كاش"/>
    <x v="54"/>
    <d v="2024-09-01T00:00:00"/>
    <x v="4"/>
    <d v="2024-09-17T00:00:00"/>
    <n v="16"/>
    <x v="2"/>
    <s v="محمود على "/>
    <x v="0"/>
  </r>
  <r>
    <x v="74"/>
    <s v="فرد"/>
    <x v="22"/>
    <x v="4"/>
    <x v="0"/>
    <x v="0"/>
    <s v="دورين"/>
    <s v="كينج"/>
    <x v="0"/>
    <s v="غير محدد"/>
    <n v="10999"/>
    <s v="مسبق الدفع"/>
    <x v="22"/>
    <d v="2024-09-30T00:00:00"/>
    <x v="1"/>
    <d v="2024-10-16T00:00:00"/>
    <n v="16"/>
    <x v="2"/>
    <s v="شركه شحن "/>
    <x v="0"/>
  </r>
  <r>
    <x v="75"/>
    <s v="فرد"/>
    <x v="9"/>
    <x v="3"/>
    <x v="0"/>
    <x v="0"/>
    <s v="دورين"/>
    <s v="كينج"/>
    <x v="8"/>
    <s v="غير محدد"/>
    <n v="13849"/>
    <s v="مسبق الدفع"/>
    <x v="22"/>
    <d v="2024-09-30T00:00:00"/>
    <x v="1"/>
    <d v="2024-10-20T00:00:00"/>
    <n v="20"/>
    <x v="2"/>
    <s v="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27B64-F1CB-4775-93E9-26B4F18163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3:P11" firstHeaderRow="1" firstDataRow="2" firstDataCol="1"/>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dataField="1" showAll="0"/>
    <pivotField showAll="0"/>
    <pivotField axis="axisRow"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items count="4">
        <item x="2"/>
        <item x="0"/>
        <item x="1"/>
        <item t="default"/>
      </items>
    </pivotField>
    <pivotField showAll="0"/>
    <pivotField axis="axisCol" showAll="0" defaultSubtotal="0">
      <items count="5">
        <item x="0"/>
        <item m="1" x="3"/>
        <item h="1" x="1"/>
        <item h="1" m="1" x="4"/>
        <item h="1" x="2"/>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12"/>
  </rowFields>
  <rowItems count="7">
    <i>
      <x v="7"/>
    </i>
    <i>
      <x v="8"/>
    </i>
    <i>
      <x v="9"/>
    </i>
    <i>
      <x v="10"/>
    </i>
    <i>
      <x v="11"/>
    </i>
    <i>
      <x v="12"/>
    </i>
    <i t="grand">
      <x/>
    </i>
  </rowItems>
  <colFields count="1">
    <field x="19"/>
  </colFields>
  <colItems count="2">
    <i>
      <x/>
    </i>
    <i t="grand">
      <x/>
    </i>
  </colItems>
  <dataFields count="1">
    <dataField name="Sum of سعر البيع " fld="10" baseField="0" baseItem="0"/>
  </dataFields>
  <chartFormats count="1">
    <chartFormat chart="12" format="0"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85FA8-9500-4AC9-AB23-7CDCFD8C2F4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2:H101" firstHeaderRow="1" firstDataRow="1" firstDataCol="1"/>
  <pivotFields count="22">
    <pivotField showAll="0"/>
    <pivotField showAll="0"/>
    <pivotField showAll="0"/>
    <pivotField showAll="0">
      <items count="12">
        <item x="1"/>
        <item m="1" x="7"/>
        <item x="2"/>
        <item x="3"/>
        <item m="1" x="10"/>
        <item x="5"/>
        <item m="1" x="8"/>
        <item x="6"/>
        <item x="4"/>
        <item x="0"/>
        <item m="1" x="9"/>
        <item t="default"/>
      </items>
    </pivotField>
    <pivotField axis="axisRow" showAll="0" sortType="descending">
      <items count="13">
        <item m="1" x="11"/>
        <item x="0"/>
        <item m="1" x="9"/>
        <item x="5"/>
        <item x="6"/>
        <item x="3"/>
        <item m="1" x="8"/>
        <item x="1"/>
        <item m="1" x="10"/>
        <item x="2"/>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v="1"/>
    </i>
    <i>
      <x v="7"/>
    </i>
    <i>
      <x v="10"/>
    </i>
    <i>
      <x v="9"/>
    </i>
    <i>
      <x v="11"/>
    </i>
    <i>
      <x v="5"/>
    </i>
    <i>
      <x v="3"/>
    </i>
    <i>
      <x v="4"/>
    </i>
    <i t="grand">
      <x/>
    </i>
  </rowItems>
  <colItems count="1">
    <i/>
  </colItems>
  <dataFields count="1">
    <dataField name="Sum of سعر البيع " fld="10" baseField="0" baseItem="0"/>
  </dataFields>
  <formats count="1">
    <format dxfId="0">
      <pivotArea collapsedLevelsAreSubtotals="1" fieldPosition="0">
        <references count="1">
          <reference field="4" count="0"/>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4"/>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5"/>
          </reference>
        </references>
      </pivotArea>
    </chartFormat>
    <chartFormat chart="2" format="6">
      <pivotArea type="data" outline="0" fieldPosition="0">
        <references count="2">
          <reference field="4294967294" count="1" selected="0">
            <x v="0"/>
          </reference>
          <reference field="4" count="1" selected="0">
            <x v="11"/>
          </reference>
        </references>
      </pivotArea>
    </chartFormat>
    <chartFormat chart="2" format="7">
      <pivotArea type="data" outline="0" fieldPosition="0">
        <references count="2">
          <reference field="4294967294" count="1" selected="0">
            <x v="0"/>
          </reference>
          <reference field="4" count="1" selected="0">
            <x v="9"/>
          </reference>
        </references>
      </pivotArea>
    </chartFormat>
    <chartFormat chart="2" format="8">
      <pivotArea type="data" outline="0" fieldPosition="0">
        <references count="2">
          <reference field="4294967294" count="1" selected="0">
            <x v="0"/>
          </reference>
          <reference field="4" count="1" selected="0">
            <x v="7"/>
          </reference>
        </references>
      </pivotArea>
    </chartFormat>
    <chartFormat chart="2" format="9">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740584-1050-429D-83A9-3640CBA4F35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9:C113" firstHeaderRow="1" firstDataRow="1" firstDataCol="1"/>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axis="axisRow" dataField="1" showAll="0">
      <items count="6">
        <item x="0"/>
        <item m="1" x="3"/>
        <item x="1"/>
        <item m="1" x="4"/>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2"/>
    </i>
    <i>
      <x v="4"/>
    </i>
    <i t="grand">
      <x/>
    </i>
  </rowItems>
  <colItems count="1">
    <i/>
  </colItems>
  <dataFields count="1">
    <dataField name="Count of الحالة" fld="19" subtotal="count" showDataAs="percentOfTotal" baseField="17" baseItem="0" numFmtId="10"/>
  </dataFields>
  <formats count="4">
    <format dxfId="4">
      <pivotArea outline="0" collapsedLevelsAreSubtotals="1" fieldPosition="0"/>
    </format>
    <format dxfId="3">
      <pivotArea outline="0" collapsedLevelsAreSubtotals="1" fieldPosition="0"/>
    </format>
    <format dxfId="2">
      <pivotArea outline="0" fieldPosition="0">
        <references count="1">
          <reference field="4294967294" count="1">
            <x v="0"/>
          </reference>
        </references>
      </pivotArea>
    </format>
    <format dxfId="1">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1D146E-8329-451A-BBD5-14B73BEAB18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63:H69" firstHeaderRow="1" firstDataRow="1" firstDataCol="1"/>
  <pivotFields count="22">
    <pivotField showAll="0"/>
    <pivotField showAll="0"/>
    <pivotField showAll="0"/>
    <pivotField showAll="0">
      <items count="12">
        <item x="1"/>
        <item m="1" x="7"/>
        <item x="2"/>
        <item x="3"/>
        <item m="1" x="10"/>
        <item x="5"/>
        <item m="1" x="8"/>
        <item x="6"/>
        <item x="4"/>
        <item x="0"/>
        <item m="1" x="9"/>
        <item t="default"/>
      </items>
    </pivotField>
    <pivotField showAll="0"/>
    <pivotField axis="axisRow" dataField="1" showAll="0" sortType="descending">
      <items count="9">
        <item x="2"/>
        <item m="1" x="7"/>
        <item x="4"/>
        <item x="0"/>
        <item m="1" x="6"/>
        <item x="3"/>
        <item x="1"/>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3"/>
    </i>
    <i>
      <x v="6"/>
    </i>
    <i>
      <x/>
    </i>
    <i>
      <x v="2"/>
    </i>
    <i>
      <x v="5"/>
    </i>
    <i t="grand">
      <x/>
    </i>
  </rowItems>
  <colItems count="1">
    <i/>
  </colItems>
  <dataFields count="1">
    <dataField name="Count of نوع المنتج" fld="5"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DDED2-1E89-4B87-A714-DF8BD98A372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64:T73" firstHeaderRow="1" firstDataRow="2" firstDataCol="1"/>
  <pivotFields count="22">
    <pivotField showAll="0"/>
    <pivotField showAll="0"/>
    <pivotField showAll="0"/>
    <pivotField axis="axisRow" showAll="0">
      <items count="12">
        <item x="1"/>
        <item m="1" x="7"/>
        <item x="2"/>
        <item x="3"/>
        <item m="1" x="10"/>
        <item x="5"/>
        <item m="1" x="8"/>
        <item x="6"/>
        <item x="4"/>
        <item x="0"/>
        <item m="1" x="9"/>
        <item t="default"/>
      </items>
    </pivotField>
    <pivotField showAll="0"/>
    <pivotField axis="axisCol" showAll="0" sortType="descending">
      <items count="9">
        <item x="2"/>
        <item m="1" x="7"/>
        <item x="4"/>
        <item x="0"/>
        <item m="1" x="6"/>
        <item x="3"/>
        <item x="1"/>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2"/>
    </i>
    <i>
      <x v="3"/>
    </i>
    <i>
      <x v="5"/>
    </i>
    <i>
      <x v="7"/>
    </i>
    <i>
      <x v="8"/>
    </i>
    <i>
      <x v="9"/>
    </i>
    <i t="grand">
      <x/>
    </i>
  </rowItems>
  <colFields count="1">
    <field x="5"/>
  </colFields>
  <colItems count="6">
    <i>
      <x v="3"/>
    </i>
    <i>
      <x v="6"/>
    </i>
    <i>
      <x/>
    </i>
    <i>
      <x v="2"/>
    </i>
    <i>
      <x v="5"/>
    </i>
    <i t="grand">
      <x/>
    </i>
  </colItems>
  <dataFields count="1">
    <dataField name="Sum of سعر البيع " fld="10" baseField="0" baseItem="0" numFmtId="164"/>
  </dataFields>
  <formats count="1">
    <format dxfId="5">
      <pivotArea outline="0" collapsedLevelsAreSubtotals="1" fieldPosition="0"/>
    </format>
  </formats>
  <chartFormats count="5">
    <chartFormat chart="8" format="0" series="1">
      <pivotArea type="data" outline="0" fieldPosition="0">
        <references count="2">
          <reference field="4294967294" count="1" selected="0">
            <x v="0"/>
          </reference>
          <reference field="5" count="1" selected="0">
            <x v="3"/>
          </reference>
        </references>
      </pivotArea>
    </chartFormat>
    <chartFormat chart="8" format="1" series="1">
      <pivotArea type="data" outline="0" fieldPosition="0">
        <references count="2">
          <reference field="4294967294" count="1" selected="0">
            <x v="0"/>
          </reference>
          <reference field="5" count="1" selected="0">
            <x v="6"/>
          </reference>
        </references>
      </pivotArea>
    </chartFormat>
    <chartFormat chart="8" format="2" series="1">
      <pivotArea type="data" outline="0" fieldPosition="0">
        <references count="2">
          <reference field="4294967294" count="1" selected="0">
            <x v="0"/>
          </reference>
          <reference field="5" count="1" selected="0">
            <x v="0"/>
          </reference>
        </references>
      </pivotArea>
    </chartFormat>
    <chartFormat chart="8" format="3" series="1">
      <pivotArea type="data" outline="0" fieldPosition="0">
        <references count="2">
          <reference field="4294967294" count="1" selected="0">
            <x v="0"/>
          </reference>
          <reference field="5" count="1" selected="0">
            <x v="2"/>
          </reference>
        </references>
      </pivotArea>
    </chartFormat>
    <chartFormat chart="8" format="4"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51A590-0C30-4836-B660-47BD9F2C690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103" firstHeaderRow="1" firstDataRow="1" firstDataCol="1"/>
  <pivotFields count="22">
    <pivotField axis="axisRow" dataField="1" showAll="0">
      <items count="80">
        <item x="37"/>
        <item x="2"/>
        <item x="7"/>
        <item x="5"/>
        <item x="9"/>
        <item x="0"/>
        <item x="66"/>
        <item x="30"/>
        <item x="18"/>
        <item x="42"/>
        <item x="47"/>
        <item x="35"/>
        <item x="73"/>
        <item x="72"/>
        <item x="67"/>
        <item x="45"/>
        <item x="22"/>
        <item x="51"/>
        <item x="63"/>
        <item x="75"/>
        <item x="70"/>
        <item x="13"/>
        <item m="1" x="77"/>
        <item x="49"/>
        <item x="65"/>
        <item x="43"/>
        <item x="58"/>
        <item x="61"/>
        <item x="57"/>
        <item x="53"/>
        <item x="23"/>
        <item x="62"/>
        <item x="1"/>
        <item x="3"/>
        <item x="25"/>
        <item x="71"/>
        <item x="29"/>
        <item x="34"/>
        <item x="12"/>
        <item x="74"/>
        <item x="16"/>
        <item x="33"/>
        <item x="11"/>
        <item m="1" x="76"/>
        <item x="38"/>
        <item x="39"/>
        <item x="28"/>
        <item x="59"/>
        <item x="44"/>
        <item x="15"/>
        <item x="40"/>
        <item x="41"/>
        <item x="19"/>
        <item x="46"/>
        <item x="60"/>
        <item x="4"/>
        <item x="31"/>
        <item x="17"/>
        <item x="36"/>
        <item x="20"/>
        <item x="52"/>
        <item x="64"/>
        <item x="69"/>
        <item x="24"/>
        <item x="10"/>
        <item x="6"/>
        <item x="32"/>
        <item x="56"/>
        <item x="14"/>
        <item x="48"/>
        <item m="1" x="78"/>
        <item x="26"/>
        <item x="21"/>
        <item x="55"/>
        <item x="27"/>
        <item x="50"/>
        <item x="68"/>
        <item x="8"/>
        <item x="54"/>
        <item t="default"/>
      </items>
    </pivotField>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77">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2"/>
    </i>
    <i>
      <x v="33"/>
    </i>
    <i>
      <x v="34"/>
    </i>
    <i>
      <x v="35"/>
    </i>
    <i>
      <x v="36"/>
    </i>
    <i>
      <x v="37"/>
    </i>
    <i>
      <x v="38"/>
    </i>
    <i>
      <x v="39"/>
    </i>
    <i>
      <x v="40"/>
    </i>
    <i>
      <x v="41"/>
    </i>
    <i>
      <x v="42"/>
    </i>
    <i>
      <x v="44"/>
    </i>
    <i>
      <x v="45"/>
    </i>
    <i>
      <x v="46"/>
    </i>
    <i>
      <x v="47"/>
    </i>
    <i>
      <x v="48"/>
    </i>
    <i>
      <x v="49"/>
    </i>
    <i>
      <x v="50"/>
    </i>
    <i>
      <x v="51"/>
    </i>
    <i>
      <x v="52"/>
    </i>
    <i>
      <x v="53"/>
    </i>
    <i>
      <x v="54"/>
    </i>
    <i>
      <x v="55"/>
    </i>
    <i>
      <x v="56"/>
    </i>
    <i>
      <x v="57"/>
    </i>
    <i>
      <x v="58"/>
    </i>
    <i>
      <x v="59"/>
    </i>
    <i>
      <x v="60"/>
    </i>
    <i>
      <x v="61"/>
    </i>
    <i>
      <x v="62"/>
    </i>
    <i>
      <x v="63"/>
    </i>
    <i>
      <x v="64"/>
    </i>
    <i>
      <x v="65"/>
    </i>
    <i>
      <x v="66"/>
    </i>
    <i>
      <x v="67"/>
    </i>
    <i>
      <x v="68"/>
    </i>
    <i>
      <x v="69"/>
    </i>
    <i>
      <x v="71"/>
    </i>
    <i>
      <x v="72"/>
    </i>
    <i>
      <x v="73"/>
    </i>
    <i>
      <x v="74"/>
    </i>
    <i>
      <x v="75"/>
    </i>
    <i>
      <x v="76"/>
    </i>
    <i>
      <x v="77"/>
    </i>
    <i>
      <x v="78"/>
    </i>
    <i t="grand">
      <x/>
    </i>
  </rowItems>
  <colItems count="1">
    <i/>
  </colItems>
  <dataFields count="1">
    <dataField name="Count of أسم العميل" fld="0" subtotal="count" baseField="0"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26612-9A8D-4E80-91EA-B54153ED263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7:H38" firstHeaderRow="1" firstDataRow="1" firstDataCol="1"/>
  <pivotFields count="22">
    <pivotField showAll="0"/>
    <pivotField showAll="0"/>
    <pivotField axis="axisRow" dataField="1" showAll="0" measureFilter="1" sortType="descending">
      <items count="33">
        <item x="9"/>
        <item x="20"/>
        <item x="4"/>
        <item x="27"/>
        <item x="7"/>
        <item x="8"/>
        <item x="21"/>
        <item x="24"/>
        <item x="23"/>
        <item x="1"/>
        <item x="10"/>
        <item x="6"/>
        <item x="12"/>
        <item x="14"/>
        <item x="19"/>
        <item x="22"/>
        <item x="11"/>
        <item x="16"/>
        <item x="13"/>
        <item x="3"/>
        <item x="2"/>
        <item x="25"/>
        <item x="31"/>
        <item x="28"/>
        <item x="15"/>
        <item x="17"/>
        <item x="30"/>
        <item x="29"/>
        <item x="26"/>
        <item x="5"/>
        <item x="18"/>
        <item x="0"/>
        <item t="default"/>
      </items>
      <autoSortScope>
        <pivotArea dataOnly="0" outline="0" fieldPosition="0">
          <references count="1">
            <reference field="4294967294" count="1" selected="0">
              <x v="0"/>
            </reference>
          </references>
        </pivotArea>
      </autoSortScope>
    </pivotField>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items count="7">
        <item x="5"/>
        <item x="4"/>
        <item x="1"/>
        <item x="0"/>
        <item x="3"/>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5"/>
    </i>
    <i>
      <x v="31"/>
    </i>
    <i>
      <x/>
    </i>
    <i>
      <x v="18"/>
    </i>
    <i>
      <x v="11"/>
    </i>
    <i>
      <x v="19"/>
    </i>
    <i>
      <x v="8"/>
    </i>
    <i>
      <x v="20"/>
    </i>
    <i>
      <x v="9"/>
    </i>
    <i>
      <x v="14"/>
    </i>
    <i t="grand">
      <x/>
    </i>
  </rowItems>
  <colItems count="1">
    <i/>
  </colItems>
  <dataFields count="1">
    <dataField name="Count of المدينه" fld="2"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87CCC-2568-459A-9471-865EB42551E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I7" firstHeaderRow="1" firstDataRow="2" firstDataCol="1"/>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axis="axisRow" dataField="1" showAll="0">
      <items count="4">
        <item x="2"/>
        <item x="0"/>
        <item x="1"/>
        <item t="default"/>
      </items>
    </pivotField>
    <pivotField showAll="0"/>
    <pivotField axis="axisCol" showAll="0" defaultSubtotal="0">
      <items count="5">
        <item x="0"/>
        <item m="1" x="3"/>
        <item h="1" x="1"/>
        <item h="1" m="1" x="4"/>
        <item h="1" x="2"/>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3">
    <i>
      <x/>
    </i>
    <i>
      <x v="1"/>
    </i>
    <i t="grand">
      <x/>
    </i>
  </rowItems>
  <colFields count="1">
    <field x="19"/>
  </colFields>
  <colItems count="2">
    <i>
      <x/>
    </i>
    <i t="grand">
      <x/>
    </i>
  </colItems>
  <dataFields count="1">
    <dataField name="Count of on time delivery" fld="17" subtotal="count" showDataAs="percentOfTotal" baseField="15" baseItem="0" numFmtId="10"/>
  </dataFields>
  <chartFormats count="9">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2"/>
          </reference>
        </references>
      </pivotArea>
    </chartFormat>
    <chartFormat chart="3" format="2">
      <pivotArea type="data" outline="0" fieldPosition="0">
        <references count="3">
          <reference field="4294967294" count="1" selected="0">
            <x v="0"/>
          </reference>
          <reference field="17" count="1" selected="0">
            <x v="0"/>
          </reference>
          <reference field="19" count="1" selected="0">
            <x v="0"/>
          </reference>
        </references>
      </pivotArea>
    </chartFormat>
    <chartFormat chart="3" format="3">
      <pivotArea type="data" outline="0" fieldPosition="0">
        <references count="3">
          <reference field="4294967294" count="1" selected="0">
            <x v="0"/>
          </reference>
          <reference field="17" count="1" selected="0">
            <x v="1"/>
          </reference>
          <reference field="19" count="1" selected="0">
            <x v="0"/>
          </reference>
        </references>
      </pivotArea>
    </chartFormat>
    <chartFormat chart="8" format="7" series="1">
      <pivotArea type="data" outline="0" fieldPosition="0">
        <references count="2">
          <reference field="4294967294" count="1" selected="0">
            <x v="0"/>
          </reference>
          <reference field="19" count="1" selected="0">
            <x v="0"/>
          </reference>
        </references>
      </pivotArea>
    </chartFormat>
    <chartFormat chart="8" format="8">
      <pivotArea type="data" outline="0" fieldPosition="0">
        <references count="3">
          <reference field="4294967294" count="1" selected="0">
            <x v="0"/>
          </reference>
          <reference field="17" count="1" selected="0">
            <x v="0"/>
          </reference>
          <reference field="19" count="1" selected="0">
            <x v="0"/>
          </reference>
        </references>
      </pivotArea>
    </chartFormat>
    <chartFormat chart="8" format="9">
      <pivotArea type="data" outline="0" fieldPosition="0">
        <references count="3">
          <reference field="4294967294" count="1" selected="0">
            <x v="0"/>
          </reference>
          <reference field="17" count="1" selected="0">
            <x v="1"/>
          </reference>
          <reference field="19" count="1" selected="0">
            <x v="0"/>
          </reference>
        </references>
      </pivotArea>
    </chartFormat>
    <chartFormat chart="8" format="1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0A01C-59FD-43D2-A345-3F6917E3D13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dataField="1"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سعر البيع " fld="10" subtotal="average" baseField="0" baseItem="0"/>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9F2809-A0A3-4317-98F7-16508F2FB5C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2">
    <pivotField dataField="1"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أسم العميل" fld="0" subtotal="count" baseField="0" baseItem="0"/>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BC5F3F-FF02-4681-9209-D42C5552E68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showAll="0"/>
    <pivotField showAll="0"/>
    <pivotField dataField="1"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سعر البيع " fld="10"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10CFF7-9195-4E09-BF07-D6E6FCD1994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2:H126" firstHeaderRow="1" firstDataRow="1" firstDataCol="1"/>
  <pivotFields count="22">
    <pivotField showAll="0"/>
    <pivotField showAll="0"/>
    <pivotField showAll="0"/>
    <pivotField showAll="0">
      <items count="12">
        <item x="1"/>
        <item m="1" x="7"/>
        <item x="2"/>
        <item x="3"/>
        <item m="1" x="10"/>
        <item x="5"/>
        <item m="1" x="8"/>
        <item x="6"/>
        <item x="4"/>
        <item x="0"/>
        <item m="1" x="9"/>
        <item t="default"/>
      </items>
    </pivotField>
    <pivotField showAll="0"/>
    <pivotField showAll="0"/>
    <pivotField showAll="0"/>
    <pivotField showAll="0"/>
    <pivotField axis="axisRow" dataField="1" showAll="0" measureFilter="1" sortType="descending">
      <items count="13">
        <item x="0"/>
        <item x="5"/>
        <item x="3"/>
        <item m="1" x="11"/>
        <item x="9"/>
        <item x="7"/>
        <item x="8"/>
        <item x="2"/>
        <item x="4"/>
        <item x="1"/>
        <item m="1" x="1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56">
        <item x="19"/>
        <item x="20"/>
        <item x="43"/>
        <item x="30"/>
        <item x="26"/>
        <item x="54"/>
        <item x="12"/>
        <item x="14"/>
        <item x="27"/>
        <item x="32"/>
        <item x="31"/>
        <item x="47"/>
        <item x="45"/>
        <item x="21"/>
        <item x="22"/>
        <item x="1"/>
        <item x="3"/>
        <item x="4"/>
        <item x="50"/>
        <item x="51"/>
        <item x="5"/>
        <item x="33"/>
        <item x="34"/>
        <item x="35"/>
        <item x="11"/>
        <item x="41"/>
        <item x="44"/>
        <item x="2"/>
        <item x="0"/>
        <item x="6"/>
        <item x="23"/>
        <item x="46"/>
        <item x="36"/>
        <item x="9"/>
        <item x="37"/>
        <item x="53"/>
        <item x="8"/>
        <item x="28"/>
        <item x="42"/>
        <item x="29"/>
        <item x="24"/>
        <item x="25"/>
        <item x="10"/>
        <item x="13"/>
        <item x="16"/>
        <item x="48"/>
        <item x="52"/>
        <item x="38"/>
        <item x="39"/>
        <item x="18"/>
        <item x="40"/>
        <item x="49"/>
        <item x="7"/>
        <item x="17"/>
        <item x="15"/>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v="2"/>
    </i>
    <i>
      <x/>
    </i>
    <i>
      <x v="9"/>
    </i>
    <i t="grand">
      <x/>
    </i>
  </rowItems>
  <colItems count="1">
    <i/>
  </colItems>
  <dataFields count="1">
    <dataField name="Count of اللون المعدن" fld="8" subtotal="count" baseField="7" baseItem="2"/>
  </dataFields>
  <chartFormats count="1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2"/>
          </reference>
        </references>
      </pivotArea>
    </chartFormat>
    <chartFormat chart="5" format="8">
      <pivotArea type="data" outline="0" fieldPosition="0">
        <references count="2">
          <reference field="4294967294" count="1" selected="0">
            <x v="0"/>
          </reference>
          <reference field="8" count="1" selected="0">
            <x v="10"/>
          </reference>
        </references>
      </pivotArea>
    </chartFormat>
    <chartFormat chart="5" format="9">
      <pivotArea type="data" outline="0" fieldPosition="0">
        <references count="2">
          <reference field="4294967294" count="1" selected="0">
            <x v="0"/>
          </reference>
          <reference field="8" count="1" selected="0">
            <x v="9"/>
          </reference>
        </references>
      </pivotArea>
    </chartFormat>
    <chartFormat chart="5" format="10">
      <pivotArea type="data" outline="0" fieldPosition="0">
        <references count="2">
          <reference field="4294967294" count="1" selected="0">
            <x v="0"/>
          </reference>
          <reference field="8" count="1" selected="0">
            <x v="5"/>
          </reference>
        </references>
      </pivotArea>
    </chartFormat>
    <chartFormat chart="5" format="11">
      <pivotArea type="data" outline="0" fieldPosition="0">
        <references count="2">
          <reference field="4294967294" count="1" selected="0">
            <x v="0"/>
          </reference>
          <reference field="8" count="1" selected="0">
            <x v="1"/>
          </reference>
        </references>
      </pivotArea>
    </chartFormat>
    <chartFormat chart="5" format="12">
      <pivotArea type="data" outline="0" fieldPosition="0">
        <references count="2">
          <reference field="4294967294" count="1" selected="0">
            <x v="0"/>
          </reference>
          <reference field="8" count="1" selected="0">
            <x v="8"/>
          </reference>
        </references>
      </pivotArea>
    </chartFormat>
    <chartFormat chart="5" format="13">
      <pivotArea type="data" outline="0" fieldPosition="0">
        <references count="2">
          <reference field="4294967294" count="1" selected="0">
            <x v="0"/>
          </reference>
          <reference field="8" count="1" selected="0">
            <x v="4"/>
          </reference>
        </references>
      </pivotArea>
    </chartFormat>
    <chartFormat chart="5" format="14">
      <pivotArea type="data" outline="0" fieldPosition="0">
        <references count="2">
          <reference field="4294967294" count="1" selected="0">
            <x v="0"/>
          </reference>
          <reference field="8" count="1" selected="0">
            <x v="6"/>
          </reference>
        </references>
      </pivotArea>
    </chartFormat>
    <chartFormat chart="5" format="15">
      <pivotArea type="data" outline="0" fieldPosition="0">
        <references count="2">
          <reference field="4294967294" count="1" selected="0">
            <x v="0"/>
          </reference>
          <reference field="8" count="1" selected="0">
            <x v="7"/>
          </reference>
        </references>
      </pivotArea>
    </chartFormat>
    <chartFormat chart="5" format="16">
      <pivotArea type="data" outline="0" fieldPosition="0">
        <references count="2">
          <reference field="4294967294" count="1" selected="0">
            <x v="0"/>
          </reference>
          <reference field="8" count="1" selected="0">
            <x v="11"/>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filters count="1">
    <filter fld="8" type="count" evalOrder="-1" id="10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E653C6-FCE6-4E7E-81F9-137E6EFE29B3}" sourceName="Month">
  <pivotTables>
    <pivotTable tabId="5" name="PivotTable11"/>
  </pivotTables>
  <data>
    <tabular pivotCacheId="685382794">
      <items count="6">
        <i x="5" s="1"/>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 xr10:uid="{D8E28857-84A8-464C-B95B-C0331C03D59B}" sourceName="المحافظه">
  <pivotTables>
    <pivotTable tabId="5" name="PivotTable11"/>
    <pivotTable tabId="5" name="PivotTable10"/>
    <pivotTable tabId="5" name="PivotTable12"/>
    <pivotTable tabId="5" name="PivotTable13"/>
    <pivotTable tabId="5" name="PivotTable14"/>
    <pivotTable tabId="5" name="PivotTable19"/>
    <pivotTable tabId="5" name="PivotTable3"/>
    <pivotTable tabId="5" name="PivotTable4"/>
    <pivotTable tabId="5" name="PivotTable5"/>
    <pivotTable tabId="5" name="PivotTable8"/>
    <pivotTable tabId="5" name="PivotTable2"/>
    <pivotTable tabId="5" name="PivotTable1"/>
  </pivotTables>
  <data>
    <tabular pivotCacheId="685382794">
      <items count="11">
        <i x="1" s="1"/>
        <i x="2" s="1"/>
        <i x="3" s="1"/>
        <i x="5" s="1"/>
        <i x="6" s="1"/>
        <i x="4" s="1"/>
        <i x="0" s="1"/>
        <i x="7" s="1" nd="1"/>
        <i x="10"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682FFE5-1F82-4DCD-8252-A339672E5F84}" cache="Slicer_Month" caption="Month" columnCount="6" style="Slicer Style 5" rowHeight="241300"/>
  <slicer name="المحافظه" xr10:uid="{6C50BF0B-BD02-4235-9A56-24C93A7277B2}" cache="Slicer_المحافظه" caption="المحافظه"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25ACD-9BB1-4BFA-B11C-D049B55C42A6}" name="Table1" displayName="Table1" ref="A1:T126" totalsRowShown="0" headerRowDxfId="34" dataDxfId="32" headerRowBorderDxfId="33" tableBorderDxfId="31">
  <autoFilter ref="A1:T126" xr:uid="{00000000-0001-0000-0000-000000000000}"/>
  <sortState xmlns:xlrd2="http://schemas.microsoft.com/office/spreadsheetml/2017/richdata2" ref="A2:T126">
    <sortCondition ref="Q1:Q126"/>
  </sortState>
  <tableColumns count="20">
    <tableColumn id="4" xr3:uid="{BA5893FC-4FDA-4C26-9727-768A25C94768}" name="أسم العميل" dataDxfId="30"/>
    <tableColumn id="2" xr3:uid="{3DD51A06-327D-4247-9F43-3CF08D484190}" name="نوع العميل" dataDxfId="29"/>
    <tableColumn id="5" xr3:uid="{D633D806-F4EE-4B65-BB94-2DDE2DB583A1}" name="المدينه" dataDxfId="28"/>
    <tableColumn id="21" xr3:uid="{8DEB8BF9-6F0F-4901-AA61-500E8ECA4E36}" name="المحافظه" dataDxfId="27"/>
    <tableColumn id="6" xr3:uid="{3AFB7D5C-D2FD-40F2-9FEE-B43E479F20E1}" name="منصة البيع " dataDxfId="26"/>
    <tableColumn id="7" xr3:uid="{2CAE4C24-74D7-4C7F-A66D-42078E08EDA1}" name="نوع المنتج" dataDxfId="25"/>
    <tableColumn id="8" xr3:uid="{2DD1F597-4AB6-4C9F-978F-DC9E61EF4FBD}" name="تفاصيل المنتج" dataDxfId="24"/>
    <tableColumn id="9" xr3:uid="{2E93198E-F816-4776-8BCB-23BEA2FE7B40}" name="اسم البراند" dataDxfId="23"/>
    <tableColumn id="22" xr3:uid="{63AEFD0D-8BA1-4C48-8107-4B409E8D4720}" name="اللون المعدن" dataDxfId="22"/>
    <tableColumn id="23" xr3:uid="{C7603CB8-0B35-49B2-B39D-34440CFEDF26}" name="لون القماش" dataDxfId="21"/>
    <tableColumn id="11" xr3:uid="{C2763B8B-51EA-4099-9FCE-6818F9C69494}" name="سعر البيع " dataDxfId="20" dataCellStyle="Comma"/>
    <tableColumn id="12" xr3:uid="{1E997A1D-9734-489D-862C-EF02CF11AAE2}" name="طريقه الدفع " dataDxfId="19"/>
    <tableColumn id="13" xr3:uid="{3A384A8A-D1C1-413E-9D55-7140A0F2D681}" name="ميعاد الطلب" dataDxfId="18"/>
    <tableColumn id="14" xr3:uid="{7BEAC018-00DB-49A3-A830-A15BA9F86953}" name="ميعاد التسليم" dataDxfId="17"/>
    <tableColumn id="27" xr3:uid="{8E1FDD6D-F70C-4351-8078-A161A6E3D224}" name="Month" dataDxfId="16">
      <calculatedColumnFormula>TEXT(Table1[[#This Row],[ميعاد الطلب]],"mmm")</calculatedColumnFormula>
    </tableColumn>
    <tableColumn id="15" xr3:uid="{71075C37-9FFD-4FAC-9498-407CC050DCE3}" name="تاريخ التسليم" dataDxfId="15"/>
    <tableColumn id="25" xr3:uid="{6E522CFA-E177-4323-8859-ADD83E3FD210}" name="مده التوصيل" dataDxfId="14"/>
    <tableColumn id="26" xr3:uid="{A9CE1EBE-CB45-4A4D-9AC6-E6EC0B9FE3D4}" name="on time delivery" dataDxfId="13">
      <calculatedColumnFormula>IF(Table1[[#This Row],[مده التوصيل]]&lt;=0, "yes", "no")</calculatedColumnFormula>
    </tableColumn>
    <tableColumn id="16" xr3:uid="{802A007D-514F-4EE1-95E3-3D0233821172}" name="المسئول عن التسليم" dataDxfId="12"/>
    <tableColumn id="17" xr3:uid="{8F17A0D5-32B0-4EC2-B555-12358AD3DB16}" name="الحالة" dataDxfId="1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rightToLeft="1" zoomScale="70" zoomScaleNormal="70" workbookViewId="0">
      <selection activeCell="T19" sqref="T19"/>
    </sheetView>
  </sheetViews>
  <sheetFormatPr defaultColWidth="8.85546875" defaultRowHeight="15.75" x14ac:dyDescent="0.25"/>
  <cols>
    <col min="1" max="1" width="18.42578125" style="4" bestFit="1" customWidth="1"/>
    <col min="2" max="2" width="17.42578125" style="26" bestFit="1" customWidth="1"/>
    <col min="3" max="3" width="15.85546875" style="4" bestFit="1" customWidth="1"/>
    <col min="4" max="4" width="17.85546875" style="4" bestFit="1" customWidth="1"/>
    <col min="5" max="5" width="18.28515625" style="4" bestFit="1" customWidth="1"/>
    <col min="6" max="6" width="20.7109375" style="4" bestFit="1" customWidth="1"/>
    <col min="7" max="7" width="21" style="5" bestFit="1" customWidth="1"/>
    <col min="8" max="8" width="18.5703125" style="1" bestFit="1" customWidth="1"/>
    <col min="9" max="9" width="18.85546875" style="1" bestFit="1" customWidth="1"/>
    <col min="10" max="10" width="18.140625" style="9" bestFit="1" customWidth="1"/>
    <col min="11" max="11" width="18.85546875" style="15" bestFit="1" customWidth="1"/>
    <col min="12" max="12" width="21.42578125" style="6" bestFit="1" customWidth="1"/>
    <col min="13" max="13" width="19.140625" style="6" bestFit="1" customWidth="1"/>
    <col min="14" max="14" width="20" style="6" bestFit="1" customWidth="1"/>
    <col min="15" max="15" width="27" style="6" customWidth="1"/>
    <col min="16" max="16" width="20.140625" style="8" bestFit="1" customWidth="1"/>
    <col min="17" max="17" width="25.5703125" style="8" bestFit="1" customWidth="1"/>
    <col min="18" max="18" width="27" style="6" bestFit="1" customWidth="1"/>
    <col min="19" max="19" width="31.7109375" style="7" bestFit="1" customWidth="1"/>
    <col min="20" max="20" width="13.140625" style="7" customWidth="1"/>
    <col min="21" max="16384" width="8.85546875" style="1"/>
  </cols>
  <sheetData>
    <row r="1" spans="1:20" ht="20.100000000000001" customHeight="1" x14ac:dyDescent="0.25">
      <c r="A1" s="24" t="s">
        <v>0</v>
      </c>
      <c r="B1" s="35" t="s">
        <v>220</v>
      </c>
      <c r="C1" s="25" t="s">
        <v>188</v>
      </c>
      <c r="D1" s="19" t="s">
        <v>187</v>
      </c>
      <c r="E1" s="19" t="s">
        <v>3</v>
      </c>
      <c r="F1" s="19" t="s">
        <v>160</v>
      </c>
      <c r="G1" s="19" t="s">
        <v>161</v>
      </c>
      <c r="H1" s="20" t="s">
        <v>165</v>
      </c>
      <c r="I1" s="35" t="s">
        <v>90</v>
      </c>
      <c r="J1" s="35" t="s">
        <v>91</v>
      </c>
      <c r="K1" s="21" t="s">
        <v>5</v>
      </c>
      <c r="L1" s="21" t="s">
        <v>6</v>
      </c>
      <c r="M1" s="22" t="s">
        <v>8</v>
      </c>
      <c r="N1" s="22" t="s">
        <v>7</v>
      </c>
      <c r="O1" s="22" t="s">
        <v>218</v>
      </c>
      <c r="P1" s="22" t="s">
        <v>1</v>
      </c>
      <c r="Q1" s="23" t="s">
        <v>196</v>
      </c>
      <c r="R1" s="23" t="s">
        <v>204</v>
      </c>
      <c r="S1" s="19" t="s">
        <v>2</v>
      </c>
      <c r="T1" s="24" t="s">
        <v>97</v>
      </c>
    </row>
    <row r="2" spans="1:20" ht="20.100000000000001" customHeight="1" x14ac:dyDescent="0.25">
      <c r="A2" s="28" t="s">
        <v>119</v>
      </c>
      <c r="B2" s="27" t="s">
        <v>221</v>
      </c>
      <c r="C2" s="28" t="s">
        <v>23</v>
      </c>
      <c r="D2" s="28" t="s">
        <v>173</v>
      </c>
      <c r="E2" s="28" t="s">
        <v>4</v>
      </c>
      <c r="F2" s="28" t="s">
        <v>70</v>
      </c>
      <c r="G2" s="28" t="s">
        <v>80</v>
      </c>
      <c r="H2" s="29" t="s">
        <v>74</v>
      </c>
      <c r="I2" s="27" t="s">
        <v>81</v>
      </c>
      <c r="J2" s="27" t="s">
        <v>190</v>
      </c>
      <c r="K2" s="30">
        <v>10499</v>
      </c>
      <c r="L2" s="27" t="s">
        <v>10</v>
      </c>
      <c r="M2" s="31">
        <v>45581</v>
      </c>
      <c r="N2" s="31">
        <v>45645</v>
      </c>
      <c r="O2" s="31" t="str">
        <f>TEXT(Table1[[#This Row],[ميعاد الطلب]],"mmm")</f>
        <v>Oct</v>
      </c>
      <c r="P2" s="31">
        <v>45586</v>
      </c>
      <c r="Q2" s="32">
        <f>Table1[[#This Row],[تاريخ التسليم]]-Table1[[#This Row],[ميعاد التسليم]]</f>
        <v>-59</v>
      </c>
      <c r="R2" s="29" t="str">
        <f>IF(Table1[[#This Row],[مده التوصيل]]&lt;=0, "yes", "no")</f>
        <v>yes</v>
      </c>
      <c r="S2" s="28" t="s">
        <v>192</v>
      </c>
      <c r="T2" s="28" t="s">
        <v>100</v>
      </c>
    </row>
    <row r="3" spans="1:20" ht="20.100000000000001" customHeight="1" x14ac:dyDescent="0.25">
      <c r="A3" s="28" t="s">
        <v>57</v>
      </c>
      <c r="B3" s="27" t="s">
        <v>221</v>
      </c>
      <c r="C3" s="28" t="s">
        <v>37</v>
      </c>
      <c r="D3" s="28" t="s">
        <v>173</v>
      </c>
      <c r="E3" s="28" t="s">
        <v>4</v>
      </c>
      <c r="F3" s="28" t="s">
        <v>70</v>
      </c>
      <c r="G3" s="28" t="s">
        <v>80</v>
      </c>
      <c r="H3" s="28" t="s">
        <v>72</v>
      </c>
      <c r="I3" s="33" t="s">
        <v>86</v>
      </c>
      <c r="J3" s="33" t="s">
        <v>190</v>
      </c>
      <c r="K3" s="30">
        <v>12399</v>
      </c>
      <c r="L3" s="27" t="s">
        <v>10</v>
      </c>
      <c r="M3" s="31">
        <v>45549</v>
      </c>
      <c r="N3" s="31">
        <v>45616</v>
      </c>
      <c r="O3" s="31" t="str">
        <f>TEXT(Table1[[#This Row],[ميعاد الطلب]],"mmm")</f>
        <v>Sep</v>
      </c>
      <c r="P3" s="31">
        <v>45566</v>
      </c>
      <c r="Q3" s="32">
        <f>Table1[[#This Row],[تاريخ التسليم]]-Table1[[#This Row],[ميعاد التسليم]]</f>
        <v>-50</v>
      </c>
      <c r="R3" s="29" t="str">
        <f>IF(Table1[[#This Row],[مده التوصيل]]&lt;=0, "yes", "no")</f>
        <v>yes</v>
      </c>
      <c r="S3" s="28" t="s">
        <v>191</v>
      </c>
      <c r="T3" s="28" t="s">
        <v>100</v>
      </c>
    </row>
    <row r="4" spans="1:20" ht="20.100000000000001" customHeight="1" x14ac:dyDescent="0.25">
      <c r="A4" s="28" t="s">
        <v>117</v>
      </c>
      <c r="B4" s="27" t="s">
        <v>221</v>
      </c>
      <c r="C4" s="28" t="s">
        <v>23</v>
      </c>
      <c r="D4" s="28" t="s">
        <v>173</v>
      </c>
      <c r="E4" s="28" t="s">
        <v>4</v>
      </c>
      <c r="F4" s="28" t="s">
        <v>70</v>
      </c>
      <c r="G4" s="28" t="s">
        <v>80</v>
      </c>
      <c r="H4" s="28" t="s">
        <v>72</v>
      </c>
      <c r="I4" s="27" t="s">
        <v>118</v>
      </c>
      <c r="J4" s="27" t="s">
        <v>190</v>
      </c>
      <c r="K4" s="30">
        <v>12899</v>
      </c>
      <c r="L4" s="27" t="s">
        <v>229</v>
      </c>
      <c r="M4" s="31">
        <v>45578</v>
      </c>
      <c r="N4" s="31">
        <v>45643</v>
      </c>
      <c r="O4" s="31" t="str">
        <f>TEXT(Table1[[#This Row],[ميعاد الطلب]],"mmm")</f>
        <v>Oct</v>
      </c>
      <c r="P4" s="31">
        <v>45598</v>
      </c>
      <c r="Q4" s="32">
        <f>Table1[[#This Row],[تاريخ التسليم]]-Table1[[#This Row],[ميعاد التسليم]]</f>
        <v>-45</v>
      </c>
      <c r="R4" s="29" t="str">
        <f>IF(Table1[[#This Row],[مده التوصيل]]&lt;=0, "yes", "no")</f>
        <v>yes</v>
      </c>
      <c r="S4" s="28" t="s">
        <v>192</v>
      </c>
      <c r="T4" s="28" t="s">
        <v>100</v>
      </c>
    </row>
    <row r="5" spans="1:20" ht="20.100000000000001" customHeight="1" x14ac:dyDescent="0.25">
      <c r="A5" s="28" t="s">
        <v>61</v>
      </c>
      <c r="B5" s="27" t="s">
        <v>221</v>
      </c>
      <c r="C5" s="28" t="s">
        <v>23</v>
      </c>
      <c r="D5" s="28" t="s">
        <v>173</v>
      </c>
      <c r="E5" s="28" t="s">
        <v>4</v>
      </c>
      <c r="F5" s="28" t="s">
        <v>104</v>
      </c>
      <c r="G5" s="28" t="s">
        <v>166</v>
      </c>
      <c r="H5" s="28" t="s">
        <v>4</v>
      </c>
      <c r="I5" s="27" t="s">
        <v>82</v>
      </c>
      <c r="J5" s="27" t="s">
        <v>86</v>
      </c>
      <c r="K5" s="30">
        <v>21999</v>
      </c>
      <c r="L5" s="27" t="s">
        <v>10</v>
      </c>
      <c r="M5" s="31">
        <v>45549</v>
      </c>
      <c r="N5" s="31">
        <v>45616</v>
      </c>
      <c r="O5" s="31" t="str">
        <f>TEXT(Table1[[#This Row],[ميعاد الطلب]],"mmm")</f>
        <v>Sep</v>
      </c>
      <c r="P5" s="31">
        <v>45574</v>
      </c>
      <c r="Q5" s="32">
        <f>Table1[[#This Row],[تاريخ التسليم]]-Table1[[#This Row],[ميعاد التسليم]]</f>
        <v>-42</v>
      </c>
      <c r="R5" s="29" t="str">
        <f>IF(Table1[[#This Row],[مده التوصيل]]&lt;=0, "yes", "no")</f>
        <v>yes</v>
      </c>
      <c r="S5" s="28" t="s">
        <v>192</v>
      </c>
      <c r="T5" s="28" t="s">
        <v>100</v>
      </c>
    </row>
    <row r="6" spans="1:20" ht="20.100000000000001" customHeight="1" x14ac:dyDescent="0.25">
      <c r="A6" s="28" t="s">
        <v>64</v>
      </c>
      <c r="B6" s="27" t="s">
        <v>221</v>
      </c>
      <c r="C6" s="28" t="s">
        <v>174</v>
      </c>
      <c r="D6" s="28" t="s">
        <v>173</v>
      </c>
      <c r="E6" s="28" t="s">
        <v>4</v>
      </c>
      <c r="F6" s="28" t="s">
        <v>70</v>
      </c>
      <c r="G6" s="28" t="s">
        <v>80</v>
      </c>
      <c r="H6" s="28" t="s">
        <v>72</v>
      </c>
      <c r="I6" s="27" t="s">
        <v>81</v>
      </c>
      <c r="J6" s="27" t="s">
        <v>190</v>
      </c>
      <c r="K6" s="30">
        <v>10999</v>
      </c>
      <c r="L6" s="27" t="s">
        <v>229</v>
      </c>
      <c r="M6" s="31">
        <v>45549</v>
      </c>
      <c r="N6" s="31">
        <v>45616</v>
      </c>
      <c r="O6" s="31" t="str">
        <f>TEXT(Table1[[#This Row],[ميعاد الطلب]],"mmm")</f>
        <v>Sep</v>
      </c>
      <c r="P6" s="31">
        <v>45581</v>
      </c>
      <c r="Q6" s="32">
        <f>Table1[[#This Row],[تاريخ التسليم]]-Table1[[#This Row],[ميعاد التسليم]]</f>
        <v>-35</v>
      </c>
      <c r="R6" s="29" t="str">
        <f>IF(Table1[[#This Row],[مده التوصيل]]&lt;=0, "yes", "no")</f>
        <v>yes</v>
      </c>
      <c r="S6" s="28" t="s">
        <v>192</v>
      </c>
      <c r="T6" s="28" t="s">
        <v>100</v>
      </c>
    </row>
    <row r="7" spans="1:20" ht="20.100000000000001" customHeight="1" x14ac:dyDescent="0.25">
      <c r="A7" s="28" t="s">
        <v>92</v>
      </c>
      <c r="B7" s="27" t="s">
        <v>221</v>
      </c>
      <c r="C7" s="28" t="s">
        <v>46</v>
      </c>
      <c r="D7" s="28" t="s">
        <v>173</v>
      </c>
      <c r="E7" s="28" t="s">
        <v>4</v>
      </c>
      <c r="F7" s="28" t="s">
        <v>70</v>
      </c>
      <c r="G7" s="28" t="s">
        <v>80</v>
      </c>
      <c r="H7" s="29" t="s">
        <v>74</v>
      </c>
      <c r="I7" s="27" t="s">
        <v>81</v>
      </c>
      <c r="J7" s="27" t="s">
        <v>190</v>
      </c>
      <c r="K7" s="30">
        <v>10999</v>
      </c>
      <c r="L7" s="27" t="s">
        <v>229</v>
      </c>
      <c r="M7" s="31">
        <v>45550</v>
      </c>
      <c r="N7" s="31">
        <v>45616</v>
      </c>
      <c r="O7" s="31" t="str">
        <f>TEXT(Table1[[#This Row],[ميعاد الطلب]],"mmm")</f>
        <v>Sep</v>
      </c>
      <c r="P7" s="31">
        <v>45581</v>
      </c>
      <c r="Q7" s="32">
        <f>Table1[[#This Row],[تاريخ التسليم]]-Table1[[#This Row],[ميعاد التسليم]]</f>
        <v>-35</v>
      </c>
      <c r="R7" s="29" t="str">
        <f>IF(Table1[[#This Row],[مده التوصيل]]&lt;=0, "yes", "no")</f>
        <v>yes</v>
      </c>
      <c r="S7" s="28" t="s">
        <v>192</v>
      </c>
      <c r="T7" s="28" t="s">
        <v>100</v>
      </c>
    </row>
    <row r="8" spans="1:20" ht="20.100000000000001" customHeight="1" x14ac:dyDescent="0.25">
      <c r="A8" s="28" t="s">
        <v>92</v>
      </c>
      <c r="B8" s="27" t="s">
        <v>221</v>
      </c>
      <c r="C8" s="28" t="s">
        <v>46</v>
      </c>
      <c r="D8" s="28" t="s">
        <v>173</v>
      </c>
      <c r="E8" s="28" t="s">
        <v>4</v>
      </c>
      <c r="F8" s="28" t="s">
        <v>70</v>
      </c>
      <c r="G8" s="28" t="s">
        <v>80</v>
      </c>
      <c r="H8" s="29" t="s">
        <v>74</v>
      </c>
      <c r="I8" s="27" t="s">
        <v>81</v>
      </c>
      <c r="J8" s="27" t="s">
        <v>190</v>
      </c>
      <c r="K8" s="30">
        <v>10999</v>
      </c>
      <c r="L8" s="27" t="s">
        <v>229</v>
      </c>
      <c r="M8" s="31">
        <v>45550</v>
      </c>
      <c r="N8" s="31">
        <v>45616</v>
      </c>
      <c r="O8" s="31" t="str">
        <f>TEXT(Table1[[#This Row],[ميعاد الطلب]],"mmm")</f>
        <v>Sep</v>
      </c>
      <c r="P8" s="31">
        <v>45581</v>
      </c>
      <c r="Q8" s="32">
        <f>Table1[[#This Row],[تاريخ التسليم]]-Table1[[#This Row],[ميعاد التسليم]]</f>
        <v>-35</v>
      </c>
      <c r="R8" s="29" t="str">
        <f>IF(Table1[[#This Row],[مده التوصيل]]&lt;=0, "yes", "no")</f>
        <v>yes</v>
      </c>
      <c r="S8" s="28" t="s">
        <v>192</v>
      </c>
      <c r="T8" s="28" t="s">
        <v>100</v>
      </c>
    </row>
    <row r="9" spans="1:20" ht="20.100000000000001" customHeight="1" x14ac:dyDescent="0.25">
      <c r="A9" s="28" t="s">
        <v>49</v>
      </c>
      <c r="B9" s="27" t="s">
        <v>221</v>
      </c>
      <c r="C9" s="28" t="s">
        <v>50</v>
      </c>
      <c r="D9" s="28" t="s">
        <v>182</v>
      </c>
      <c r="E9" s="28" t="s">
        <v>4</v>
      </c>
      <c r="F9" s="28" t="s">
        <v>70</v>
      </c>
      <c r="G9" s="28" t="s">
        <v>80</v>
      </c>
      <c r="H9" s="29" t="s">
        <v>74</v>
      </c>
      <c r="I9" s="27" t="s">
        <v>86</v>
      </c>
      <c r="J9" s="27" t="s">
        <v>190</v>
      </c>
      <c r="K9" s="30">
        <v>12999</v>
      </c>
      <c r="L9" s="27" t="s">
        <v>229</v>
      </c>
      <c r="M9" s="31">
        <v>45549</v>
      </c>
      <c r="N9" s="31">
        <v>45616</v>
      </c>
      <c r="O9" s="31" t="str">
        <f>TEXT(Table1[[#This Row],[ميعاد الطلب]],"mmm")</f>
        <v>Sep</v>
      </c>
      <c r="P9" s="31">
        <v>45582</v>
      </c>
      <c r="Q9" s="32">
        <f>Table1[[#This Row],[تاريخ التسليم]]-Table1[[#This Row],[ميعاد التسليم]]</f>
        <v>-34</v>
      </c>
      <c r="R9" s="29" t="str">
        <f>IF(Table1[[#This Row],[مده التوصيل]]&lt;=0, "yes", "no")</f>
        <v>yes</v>
      </c>
      <c r="S9" s="28" t="s">
        <v>191</v>
      </c>
      <c r="T9" s="28" t="s">
        <v>100</v>
      </c>
    </row>
    <row r="10" spans="1:20" ht="20.100000000000001" customHeight="1" x14ac:dyDescent="0.25">
      <c r="A10" s="28" t="s">
        <v>93</v>
      </c>
      <c r="B10" s="27" t="s">
        <v>221</v>
      </c>
      <c r="C10" s="28" t="s">
        <v>167</v>
      </c>
      <c r="D10" s="28" t="s">
        <v>173</v>
      </c>
      <c r="E10" s="28" t="s">
        <v>4</v>
      </c>
      <c r="F10" s="28" t="s">
        <v>104</v>
      </c>
      <c r="G10" s="28" t="s">
        <v>166</v>
      </c>
      <c r="H10" s="28" t="s">
        <v>4</v>
      </c>
      <c r="I10" s="27" t="s">
        <v>82</v>
      </c>
      <c r="J10" s="27" t="s">
        <v>86</v>
      </c>
      <c r="K10" s="30">
        <v>21999</v>
      </c>
      <c r="L10" s="27" t="s">
        <v>229</v>
      </c>
      <c r="M10" s="31">
        <v>45551</v>
      </c>
      <c r="N10" s="31">
        <v>45616</v>
      </c>
      <c r="O10" s="31" t="str">
        <f>TEXT(Table1[[#This Row],[ميعاد الطلب]],"mmm")</f>
        <v>Sep</v>
      </c>
      <c r="P10" s="31">
        <v>45584</v>
      </c>
      <c r="Q10" s="32">
        <f>Table1[[#This Row],[تاريخ التسليم]]-Table1[[#This Row],[ميعاد التسليم]]</f>
        <v>-32</v>
      </c>
      <c r="R10" s="29" t="str">
        <f>IF(Table1[[#This Row],[مده التوصيل]]&lt;=0, "yes", "no")</f>
        <v>yes</v>
      </c>
      <c r="S10" s="28" t="s">
        <v>192</v>
      </c>
      <c r="T10" s="28" t="s">
        <v>100</v>
      </c>
    </row>
    <row r="11" spans="1:20" ht="20.100000000000001" customHeight="1" x14ac:dyDescent="0.25">
      <c r="A11" s="28" t="s">
        <v>102</v>
      </c>
      <c r="B11" s="27" t="s">
        <v>221</v>
      </c>
      <c r="C11" s="28" t="s">
        <v>20</v>
      </c>
      <c r="D11" s="28" t="s">
        <v>173</v>
      </c>
      <c r="E11" s="28" t="s">
        <v>4</v>
      </c>
      <c r="F11" s="28" t="s">
        <v>70</v>
      </c>
      <c r="G11" s="28" t="s">
        <v>73</v>
      </c>
      <c r="H11" s="28" t="s">
        <v>89</v>
      </c>
      <c r="I11" s="27" t="s">
        <v>81</v>
      </c>
      <c r="J11" s="27" t="s">
        <v>190</v>
      </c>
      <c r="K11" s="30">
        <v>8943</v>
      </c>
      <c r="L11" s="27" t="s">
        <v>229</v>
      </c>
      <c r="M11" s="31">
        <v>45561</v>
      </c>
      <c r="N11" s="31">
        <v>45606</v>
      </c>
      <c r="O11" s="31" t="str">
        <f>TEXT(Table1[[#This Row],[ميعاد الطلب]],"mmm")</f>
        <v>Sep</v>
      </c>
      <c r="P11" s="31">
        <v>45575</v>
      </c>
      <c r="Q11" s="32">
        <f>Table1[[#This Row],[تاريخ التسليم]]-Table1[[#This Row],[ميعاد التسليم]]</f>
        <v>-31</v>
      </c>
      <c r="R11" s="29" t="str">
        <f>IF(Table1[[#This Row],[مده التوصيل]]&lt;=0, "yes", "no")</f>
        <v>yes</v>
      </c>
      <c r="S11" s="28" t="s">
        <v>192</v>
      </c>
      <c r="T11" s="28" t="s">
        <v>100</v>
      </c>
    </row>
    <row r="12" spans="1:20" ht="20.100000000000001" customHeight="1" x14ac:dyDescent="0.25">
      <c r="A12" s="28" t="s">
        <v>120</v>
      </c>
      <c r="B12" s="27" t="s">
        <v>221</v>
      </c>
      <c r="C12" s="28" t="s">
        <v>183</v>
      </c>
      <c r="D12" s="28" t="s">
        <v>171</v>
      </c>
      <c r="E12" s="28" t="s">
        <v>4</v>
      </c>
      <c r="F12" s="28" t="s">
        <v>70</v>
      </c>
      <c r="G12" s="28" t="s">
        <v>80</v>
      </c>
      <c r="H12" s="28" t="s">
        <v>72</v>
      </c>
      <c r="I12" s="27" t="s">
        <v>118</v>
      </c>
      <c r="J12" s="27" t="s">
        <v>190</v>
      </c>
      <c r="K12" s="30">
        <v>12899</v>
      </c>
      <c r="L12" s="27" t="s">
        <v>10</v>
      </c>
      <c r="M12" s="31">
        <v>45582</v>
      </c>
      <c r="N12" s="31">
        <v>45648</v>
      </c>
      <c r="O12" s="31" t="str">
        <f>TEXT(Table1[[#This Row],[ميعاد الطلب]],"mmm")</f>
        <v>Oct</v>
      </c>
      <c r="P12" s="31">
        <v>45629</v>
      </c>
      <c r="Q12" s="32">
        <f>Table1[[#This Row],[تاريخ التسليم]]-Table1[[#This Row],[ميعاد التسليم]]</f>
        <v>-19</v>
      </c>
      <c r="R12" s="29" t="str">
        <f>IF(Table1[[#This Row],[مده التوصيل]]&lt;=0, "yes", "no")</f>
        <v>yes</v>
      </c>
      <c r="S12" s="28" t="s">
        <v>191</v>
      </c>
      <c r="T12" s="28" t="s">
        <v>100</v>
      </c>
    </row>
    <row r="13" spans="1:20" ht="20.100000000000001" customHeight="1" x14ac:dyDescent="0.25">
      <c r="A13" s="28" t="s">
        <v>155</v>
      </c>
      <c r="B13" s="27" t="s">
        <v>221</v>
      </c>
      <c r="C13" s="28" t="s">
        <v>18</v>
      </c>
      <c r="D13" s="28" t="s">
        <v>173</v>
      </c>
      <c r="E13" s="28" t="s">
        <v>24</v>
      </c>
      <c r="F13" s="28" t="s">
        <v>70</v>
      </c>
      <c r="G13" s="28" t="s">
        <v>80</v>
      </c>
      <c r="H13" s="29" t="s">
        <v>74</v>
      </c>
      <c r="I13" s="27" t="s">
        <v>82</v>
      </c>
      <c r="J13" s="27" t="s">
        <v>190</v>
      </c>
      <c r="K13" s="30">
        <v>10445</v>
      </c>
      <c r="L13" s="27" t="s">
        <v>229</v>
      </c>
      <c r="M13" s="31">
        <v>45635</v>
      </c>
      <c r="N13" s="31">
        <v>45657</v>
      </c>
      <c r="O13" s="31" t="str">
        <f>TEXT(Table1[[#This Row],[ميعاد الطلب]],"mmm")</f>
        <v>Dec</v>
      </c>
      <c r="P13" s="31">
        <v>45638</v>
      </c>
      <c r="Q13" s="32">
        <f>Table1[[#This Row],[تاريخ التسليم]]-Table1[[#This Row],[ميعاد التسليم]]</f>
        <v>-19</v>
      </c>
      <c r="R13" s="29" t="str">
        <f>IF(Table1[[#This Row],[مده التوصيل]]&lt;=0, "yes", "no")</f>
        <v>yes</v>
      </c>
      <c r="S13" s="28" t="s">
        <v>192</v>
      </c>
      <c r="T13" s="28" t="s">
        <v>100</v>
      </c>
    </row>
    <row r="14" spans="1:20" ht="20.100000000000001" customHeight="1" x14ac:dyDescent="0.25">
      <c r="A14" s="28" t="s">
        <v>24</v>
      </c>
      <c r="B14" s="27" t="s">
        <v>225</v>
      </c>
      <c r="C14" s="28" t="s">
        <v>18</v>
      </c>
      <c r="D14" s="28" t="s">
        <v>173</v>
      </c>
      <c r="E14" s="28" t="s">
        <v>24</v>
      </c>
      <c r="F14" s="28" t="s">
        <v>104</v>
      </c>
      <c r="G14" s="28" t="s">
        <v>166</v>
      </c>
      <c r="H14" s="28" t="s">
        <v>128</v>
      </c>
      <c r="I14" s="27" t="s">
        <v>82</v>
      </c>
      <c r="J14" s="27" t="s">
        <v>129</v>
      </c>
      <c r="K14" s="30">
        <v>15872</v>
      </c>
      <c r="L14" s="27" t="s">
        <v>10</v>
      </c>
      <c r="M14" s="31">
        <v>45604</v>
      </c>
      <c r="N14" s="31">
        <v>45629</v>
      </c>
      <c r="O14" s="31" t="str">
        <f>TEXT(Table1[[#This Row],[ميعاد الطلب]],"mmm")</f>
        <v>Nov</v>
      </c>
      <c r="P14" s="31">
        <v>45610</v>
      </c>
      <c r="Q14" s="32">
        <f>Table1[[#This Row],[تاريخ التسليم]]-Table1[[#This Row],[ميعاد التسليم]]</f>
        <v>-19</v>
      </c>
      <c r="R14" s="29" t="str">
        <f>IF(Table1[[#This Row],[مده التوصيل]]&lt;=0, "yes", "no")</f>
        <v>yes</v>
      </c>
      <c r="S14" s="28" t="s">
        <v>192</v>
      </c>
      <c r="T14" s="28" t="s">
        <v>100</v>
      </c>
    </row>
    <row r="15" spans="1:20" ht="20.100000000000001" customHeight="1" x14ac:dyDescent="0.25">
      <c r="A15" s="28" t="s">
        <v>60</v>
      </c>
      <c r="B15" s="27" t="s">
        <v>221</v>
      </c>
      <c r="C15" s="28" t="s">
        <v>23</v>
      </c>
      <c r="D15" s="28" t="s">
        <v>173</v>
      </c>
      <c r="E15" s="28" t="s">
        <v>4</v>
      </c>
      <c r="F15" s="28" t="s">
        <v>70</v>
      </c>
      <c r="G15" s="28" t="s">
        <v>73</v>
      </c>
      <c r="H15" s="28" t="s">
        <v>75</v>
      </c>
      <c r="I15" s="33" t="s">
        <v>81</v>
      </c>
      <c r="J15" s="33" t="s">
        <v>190</v>
      </c>
      <c r="K15" s="30">
        <v>10987</v>
      </c>
      <c r="L15" s="27" t="s">
        <v>10</v>
      </c>
      <c r="M15" s="31">
        <v>45549</v>
      </c>
      <c r="N15" s="31">
        <v>45594</v>
      </c>
      <c r="O15" s="31" t="str">
        <f>TEXT(Table1[[#This Row],[ميعاد الطلب]],"mmm")</f>
        <v>Sep</v>
      </c>
      <c r="P15" s="31">
        <v>45578</v>
      </c>
      <c r="Q15" s="32">
        <f>Table1[[#This Row],[تاريخ التسليم]]-Table1[[#This Row],[ميعاد التسليم]]</f>
        <v>-16</v>
      </c>
      <c r="R15" s="29" t="str">
        <f>IF(Table1[[#This Row],[مده التوصيل]]&lt;=0, "yes", "no")</f>
        <v>yes</v>
      </c>
      <c r="S15" s="28" t="s">
        <v>192</v>
      </c>
      <c r="T15" s="28" t="s">
        <v>100</v>
      </c>
    </row>
    <row r="16" spans="1:20" ht="20.100000000000001" customHeight="1" x14ac:dyDescent="0.25">
      <c r="A16" s="28" t="s">
        <v>60</v>
      </c>
      <c r="B16" s="27" t="s">
        <v>221</v>
      </c>
      <c r="C16" s="28" t="s">
        <v>23</v>
      </c>
      <c r="D16" s="28" t="s">
        <v>173</v>
      </c>
      <c r="E16" s="28" t="s">
        <v>4</v>
      </c>
      <c r="F16" s="28" t="s">
        <v>70</v>
      </c>
      <c r="G16" s="28" t="s">
        <v>73</v>
      </c>
      <c r="H16" s="28" t="s">
        <v>75</v>
      </c>
      <c r="I16" s="33" t="s">
        <v>81</v>
      </c>
      <c r="J16" s="33" t="s">
        <v>190</v>
      </c>
      <c r="K16" s="30">
        <v>10987</v>
      </c>
      <c r="L16" s="27" t="s">
        <v>10</v>
      </c>
      <c r="M16" s="31">
        <v>45549</v>
      </c>
      <c r="N16" s="31">
        <v>45594</v>
      </c>
      <c r="O16" s="31" t="str">
        <f>TEXT(Table1[[#This Row],[ميعاد الطلب]],"mmm")</f>
        <v>Sep</v>
      </c>
      <c r="P16" s="31">
        <v>45578</v>
      </c>
      <c r="Q16" s="32">
        <f>Table1[[#This Row],[تاريخ التسليم]]-Table1[[#This Row],[ميعاد التسليم]]</f>
        <v>-16</v>
      </c>
      <c r="R16" s="29" t="str">
        <f>IF(Table1[[#This Row],[مده التوصيل]]&lt;=0, "yes", "no")</f>
        <v>yes</v>
      </c>
      <c r="S16" s="28" t="s">
        <v>192</v>
      </c>
      <c r="T16" s="28" t="s">
        <v>100</v>
      </c>
    </row>
    <row r="17" spans="1:20" ht="20.100000000000001" customHeight="1" x14ac:dyDescent="0.25">
      <c r="A17" s="28" t="s">
        <v>24</v>
      </c>
      <c r="B17" s="27" t="s">
        <v>225</v>
      </c>
      <c r="C17" s="28" t="s">
        <v>18</v>
      </c>
      <c r="D17" s="28" t="s">
        <v>173</v>
      </c>
      <c r="E17" s="28" t="s">
        <v>24</v>
      </c>
      <c r="F17" s="28" t="s">
        <v>104</v>
      </c>
      <c r="G17" s="28" t="s">
        <v>166</v>
      </c>
      <c r="H17" s="28" t="s">
        <v>16</v>
      </c>
      <c r="I17" s="27" t="s">
        <v>82</v>
      </c>
      <c r="J17" s="27" t="s">
        <v>190</v>
      </c>
      <c r="K17" s="30">
        <v>15516</v>
      </c>
      <c r="L17" s="27" t="s">
        <v>10</v>
      </c>
      <c r="M17" s="31">
        <v>45589</v>
      </c>
      <c r="N17" s="31">
        <v>45610</v>
      </c>
      <c r="O17" s="31" t="str">
        <f>TEXT(Table1[[#This Row],[ميعاد الطلب]],"mmm")</f>
        <v>Oct</v>
      </c>
      <c r="P17" s="31">
        <v>45595</v>
      </c>
      <c r="Q17" s="32">
        <f>Table1[[#This Row],[تاريخ التسليم]]-Table1[[#This Row],[ميعاد التسليم]]</f>
        <v>-15</v>
      </c>
      <c r="R17" s="29" t="str">
        <f>IF(Table1[[#This Row],[مده التوصيل]]&lt;=0, "yes", "no")</f>
        <v>yes</v>
      </c>
      <c r="S17" s="28" t="s">
        <v>192</v>
      </c>
      <c r="T17" s="28" t="s">
        <v>100</v>
      </c>
    </row>
    <row r="18" spans="1:20" ht="20.100000000000001" customHeight="1" x14ac:dyDescent="0.25">
      <c r="A18" s="28" t="s">
        <v>21</v>
      </c>
      <c r="B18" s="27" t="s">
        <v>225</v>
      </c>
      <c r="C18" s="28" t="s">
        <v>20</v>
      </c>
      <c r="D18" s="28" t="s">
        <v>173</v>
      </c>
      <c r="E18" s="28" t="s">
        <v>21</v>
      </c>
      <c r="F18" s="28" t="s">
        <v>104</v>
      </c>
      <c r="G18" s="28" t="s">
        <v>21</v>
      </c>
      <c r="H18" s="28" t="s">
        <v>21</v>
      </c>
      <c r="I18" s="27" t="s">
        <v>82</v>
      </c>
      <c r="J18" s="27" t="s">
        <v>190</v>
      </c>
      <c r="K18" s="30">
        <v>6000</v>
      </c>
      <c r="L18" s="27" t="s">
        <v>229</v>
      </c>
      <c r="M18" s="31">
        <v>45615</v>
      </c>
      <c r="N18" s="31">
        <v>45631</v>
      </c>
      <c r="O18" s="31" t="str">
        <f>TEXT(Table1[[#This Row],[ميعاد الطلب]],"mmm")</f>
        <v>Nov</v>
      </c>
      <c r="P18" s="31">
        <v>45616</v>
      </c>
      <c r="Q18" s="32">
        <f>Table1[[#This Row],[تاريخ التسليم]]-Table1[[#This Row],[ميعاد التسليم]]</f>
        <v>-15</v>
      </c>
      <c r="R18" s="29" t="str">
        <f>IF(Table1[[#This Row],[مده التوصيل]]&lt;=0, "yes", "no")</f>
        <v>yes</v>
      </c>
      <c r="S18" s="28" t="s">
        <v>194</v>
      </c>
      <c r="T18" s="28" t="s">
        <v>100</v>
      </c>
    </row>
    <row r="19" spans="1:20" ht="20.100000000000001" customHeight="1" x14ac:dyDescent="0.25">
      <c r="A19" s="28" t="s">
        <v>54</v>
      </c>
      <c r="B19" s="27" t="s">
        <v>221</v>
      </c>
      <c r="C19" s="28" t="s">
        <v>172</v>
      </c>
      <c r="D19" s="28" t="s">
        <v>169</v>
      </c>
      <c r="E19" s="28" t="s">
        <v>4</v>
      </c>
      <c r="F19" s="28" t="s">
        <v>70</v>
      </c>
      <c r="G19" s="28" t="s">
        <v>71</v>
      </c>
      <c r="H19" s="28" t="s">
        <v>4</v>
      </c>
      <c r="I19" s="27" t="s">
        <v>82</v>
      </c>
      <c r="J19" s="27" t="s">
        <v>82</v>
      </c>
      <c r="K19" s="30">
        <v>9399</v>
      </c>
      <c r="L19" s="27" t="s">
        <v>229</v>
      </c>
      <c r="M19" s="31">
        <v>45549</v>
      </c>
      <c r="N19" s="31">
        <v>45594</v>
      </c>
      <c r="O19" s="31" t="str">
        <f>TEXT(Table1[[#This Row],[ميعاد الطلب]],"mmm")</f>
        <v>Sep</v>
      </c>
      <c r="P19" s="31">
        <v>45580</v>
      </c>
      <c r="Q19" s="32">
        <f>Table1[[#This Row],[تاريخ التسليم]]-Table1[[#This Row],[ميعاد التسليم]]</f>
        <v>-14</v>
      </c>
      <c r="R19" s="29" t="str">
        <f>IF(Table1[[#This Row],[مده التوصيل]]&lt;=0, "yes", "no")</f>
        <v>yes</v>
      </c>
      <c r="S19" s="28" t="s">
        <v>192</v>
      </c>
      <c r="T19" s="28" t="s">
        <v>100</v>
      </c>
    </row>
    <row r="20" spans="1:20" ht="20.100000000000001" customHeight="1" x14ac:dyDescent="0.25">
      <c r="A20" s="28" t="s">
        <v>55</v>
      </c>
      <c r="B20" s="27" t="s">
        <v>221</v>
      </c>
      <c r="C20" s="28" t="s">
        <v>181</v>
      </c>
      <c r="D20" s="28" t="s">
        <v>169</v>
      </c>
      <c r="E20" s="28" t="s">
        <v>4</v>
      </c>
      <c r="F20" s="28" t="s">
        <v>70</v>
      </c>
      <c r="G20" s="28" t="s">
        <v>73</v>
      </c>
      <c r="H20" s="28" t="s">
        <v>75</v>
      </c>
      <c r="I20" s="27" t="s">
        <v>82</v>
      </c>
      <c r="J20" s="33" t="s">
        <v>111</v>
      </c>
      <c r="K20" s="30">
        <v>11817</v>
      </c>
      <c r="L20" s="27" t="s">
        <v>229</v>
      </c>
      <c r="M20" s="31">
        <v>45549</v>
      </c>
      <c r="N20" s="31">
        <v>45594</v>
      </c>
      <c r="O20" s="31" t="str">
        <f>TEXT(Table1[[#This Row],[ميعاد الطلب]],"mmm")</f>
        <v>Sep</v>
      </c>
      <c r="P20" s="31">
        <v>45580</v>
      </c>
      <c r="Q20" s="32">
        <f>Table1[[#This Row],[تاريخ التسليم]]-Table1[[#This Row],[ميعاد التسليم]]</f>
        <v>-14</v>
      </c>
      <c r="R20" s="29" t="str">
        <f>IF(Table1[[#This Row],[مده التوصيل]]&lt;=0, "yes", "no")</f>
        <v>yes</v>
      </c>
      <c r="S20" s="28" t="s">
        <v>192</v>
      </c>
      <c r="T20" s="28" t="s">
        <v>100</v>
      </c>
    </row>
    <row r="21" spans="1:20" ht="20.100000000000001" customHeight="1" x14ac:dyDescent="0.25">
      <c r="A21" s="28" t="s">
        <v>24</v>
      </c>
      <c r="B21" s="27" t="s">
        <v>225</v>
      </c>
      <c r="C21" s="28" t="s">
        <v>172</v>
      </c>
      <c r="D21" s="28" t="s">
        <v>169</v>
      </c>
      <c r="E21" s="28" t="s">
        <v>24</v>
      </c>
      <c r="F21" s="28" t="s">
        <v>104</v>
      </c>
      <c r="G21" s="28" t="s">
        <v>166</v>
      </c>
      <c r="H21" s="28" t="s">
        <v>16</v>
      </c>
      <c r="I21" s="27" t="s">
        <v>82</v>
      </c>
      <c r="J21" s="27" t="s">
        <v>116</v>
      </c>
      <c r="K21" s="30">
        <v>14550</v>
      </c>
      <c r="L21" s="27" t="s">
        <v>10</v>
      </c>
      <c r="M21" s="31">
        <v>45572</v>
      </c>
      <c r="N21" s="31">
        <v>45594</v>
      </c>
      <c r="O21" s="31" t="str">
        <f>TEXT(Table1[[#This Row],[ميعاد الطلب]],"mmm")</f>
        <v>Oct</v>
      </c>
      <c r="P21" s="31">
        <v>45580</v>
      </c>
      <c r="Q21" s="32">
        <f>Table1[[#This Row],[تاريخ التسليم]]-Table1[[#This Row],[ميعاد التسليم]]</f>
        <v>-14</v>
      </c>
      <c r="R21" s="29" t="str">
        <f>IF(Table1[[#This Row],[مده التوصيل]]&lt;=0, "yes", "no")</f>
        <v>yes</v>
      </c>
      <c r="S21" s="28" t="s">
        <v>192</v>
      </c>
      <c r="T21" s="28" t="s">
        <v>100</v>
      </c>
    </row>
    <row r="22" spans="1:20" ht="20.100000000000001" customHeight="1" x14ac:dyDescent="0.25">
      <c r="A22" s="28" t="s">
        <v>13</v>
      </c>
      <c r="B22" s="27" t="s">
        <v>221</v>
      </c>
      <c r="C22" s="28" t="s">
        <v>14</v>
      </c>
      <c r="D22" s="28" t="s">
        <v>52</v>
      </c>
      <c r="E22" s="28" t="s">
        <v>4</v>
      </c>
      <c r="F22" s="28" t="s">
        <v>142</v>
      </c>
      <c r="G22" s="28" t="s">
        <v>94</v>
      </c>
      <c r="H22" s="28" t="s">
        <v>4</v>
      </c>
      <c r="I22" s="27" t="s">
        <v>82</v>
      </c>
      <c r="J22" s="27" t="s">
        <v>190</v>
      </c>
      <c r="K22" s="30">
        <v>8642</v>
      </c>
      <c r="L22" s="27" t="s">
        <v>10</v>
      </c>
      <c r="M22" s="31">
        <v>45529</v>
      </c>
      <c r="N22" s="31">
        <v>45542</v>
      </c>
      <c r="O22" s="31" t="str">
        <f>TEXT(Table1[[#This Row],[ميعاد الطلب]],"mmm")</f>
        <v>Aug</v>
      </c>
      <c r="P22" s="31">
        <v>45531</v>
      </c>
      <c r="Q22" s="32">
        <f>Table1[[#This Row],[تاريخ التسليم]]-Table1[[#This Row],[ميعاد التسليم]]</f>
        <v>-11</v>
      </c>
      <c r="R22" s="29" t="str">
        <f>IF(Table1[[#This Row],[مده التوصيل]]&lt;=0, "yes", "no")</f>
        <v>yes</v>
      </c>
      <c r="S22" s="28" t="s">
        <v>191</v>
      </c>
      <c r="T22" s="28" t="s">
        <v>100</v>
      </c>
    </row>
    <row r="23" spans="1:20" ht="20.100000000000001" customHeight="1" x14ac:dyDescent="0.25">
      <c r="A23" s="28" t="s">
        <v>56</v>
      </c>
      <c r="B23" s="27" t="s">
        <v>221</v>
      </c>
      <c r="C23" s="28" t="s">
        <v>37</v>
      </c>
      <c r="D23" s="28" t="s">
        <v>173</v>
      </c>
      <c r="E23" s="28" t="s">
        <v>4</v>
      </c>
      <c r="F23" s="28" t="s">
        <v>142</v>
      </c>
      <c r="G23" s="28" t="s">
        <v>96</v>
      </c>
      <c r="H23" s="28" t="s">
        <v>4</v>
      </c>
      <c r="I23" s="27" t="s">
        <v>82</v>
      </c>
      <c r="J23" s="33" t="s">
        <v>190</v>
      </c>
      <c r="K23" s="30">
        <v>8349</v>
      </c>
      <c r="L23" s="27" t="s">
        <v>229</v>
      </c>
      <c r="M23" s="31">
        <v>45549</v>
      </c>
      <c r="N23" s="31">
        <v>45594</v>
      </c>
      <c r="O23" s="31" t="str">
        <f>TEXT(Table1[[#This Row],[ميعاد الطلب]],"mmm")</f>
        <v>Sep</v>
      </c>
      <c r="P23" s="31">
        <v>45584</v>
      </c>
      <c r="Q23" s="32">
        <f>Table1[[#This Row],[تاريخ التسليم]]-Table1[[#This Row],[ميعاد التسليم]]</f>
        <v>-10</v>
      </c>
      <c r="R23" s="29" t="str">
        <f>IF(Table1[[#This Row],[مده التوصيل]]&lt;=0, "yes", "no")</f>
        <v>yes</v>
      </c>
      <c r="S23" s="28" t="s">
        <v>192</v>
      </c>
      <c r="T23" s="28" t="s">
        <v>100</v>
      </c>
    </row>
    <row r="24" spans="1:20" ht="20.100000000000001" customHeight="1" x14ac:dyDescent="0.25">
      <c r="A24" s="28" t="s">
        <v>62</v>
      </c>
      <c r="B24" s="27" t="s">
        <v>221</v>
      </c>
      <c r="C24" s="28" t="s">
        <v>63</v>
      </c>
      <c r="D24" s="28" t="s">
        <v>173</v>
      </c>
      <c r="E24" s="28" t="s">
        <v>4</v>
      </c>
      <c r="F24" s="28" t="s">
        <v>142</v>
      </c>
      <c r="G24" s="28" t="s">
        <v>94</v>
      </c>
      <c r="H24" s="28" t="s">
        <v>4</v>
      </c>
      <c r="I24" s="27" t="s">
        <v>82</v>
      </c>
      <c r="J24" s="27" t="s">
        <v>190</v>
      </c>
      <c r="K24" s="30">
        <v>10319</v>
      </c>
      <c r="L24" s="27" t="s">
        <v>10</v>
      </c>
      <c r="M24" s="31">
        <v>45549</v>
      </c>
      <c r="N24" s="31">
        <v>45594</v>
      </c>
      <c r="O24" s="31" t="str">
        <f>TEXT(Table1[[#This Row],[ميعاد الطلب]],"mmm")</f>
        <v>Sep</v>
      </c>
      <c r="P24" s="31">
        <v>45584</v>
      </c>
      <c r="Q24" s="32">
        <f>Table1[[#This Row],[تاريخ التسليم]]-Table1[[#This Row],[ميعاد التسليم]]</f>
        <v>-10</v>
      </c>
      <c r="R24" s="29" t="str">
        <f>IF(Table1[[#This Row],[مده التوصيل]]&lt;=0, "yes", "no")</f>
        <v>yes</v>
      </c>
      <c r="S24" s="28" t="s">
        <v>192</v>
      </c>
      <c r="T24" s="28" t="s">
        <v>100</v>
      </c>
    </row>
    <row r="25" spans="1:20" ht="20.100000000000001" customHeight="1" x14ac:dyDescent="0.25">
      <c r="A25" s="28" t="s">
        <v>60</v>
      </c>
      <c r="B25" s="27" t="s">
        <v>221</v>
      </c>
      <c r="C25" s="28" t="s">
        <v>172</v>
      </c>
      <c r="D25" s="28" t="s">
        <v>169</v>
      </c>
      <c r="E25" s="28" t="s">
        <v>4</v>
      </c>
      <c r="F25" s="28" t="s">
        <v>70</v>
      </c>
      <c r="G25" s="28" t="s">
        <v>80</v>
      </c>
      <c r="H25" s="29" t="s">
        <v>74</v>
      </c>
      <c r="I25" s="27" t="s">
        <v>82</v>
      </c>
      <c r="J25" s="27" t="s">
        <v>190</v>
      </c>
      <c r="K25" s="30">
        <v>13439</v>
      </c>
      <c r="L25" s="27" t="s">
        <v>229</v>
      </c>
      <c r="M25" s="31">
        <v>45616</v>
      </c>
      <c r="N25" s="31">
        <v>45631</v>
      </c>
      <c r="O25" s="31" t="str">
        <f>TEXT(Table1[[#This Row],[ميعاد الطلب]],"mmm")</f>
        <v>Nov</v>
      </c>
      <c r="P25" s="31">
        <v>45622</v>
      </c>
      <c r="Q25" s="32">
        <f>Table1[[#This Row],[تاريخ التسليم]]-Table1[[#This Row],[ميعاد التسليم]]</f>
        <v>-9</v>
      </c>
      <c r="R25" s="29" t="str">
        <f>IF(Table1[[#This Row],[مده التوصيل]]&lt;=0, "yes", "no")</f>
        <v>yes</v>
      </c>
      <c r="S25" s="28" t="s">
        <v>192</v>
      </c>
      <c r="T25" s="28" t="s">
        <v>100</v>
      </c>
    </row>
    <row r="26" spans="1:20" ht="20.100000000000001" customHeight="1" x14ac:dyDescent="0.25">
      <c r="A26" s="28" t="s">
        <v>22</v>
      </c>
      <c r="B26" s="27" t="s">
        <v>221</v>
      </c>
      <c r="C26" s="28" t="s">
        <v>23</v>
      </c>
      <c r="D26" s="28" t="s">
        <v>173</v>
      </c>
      <c r="E26" s="28" t="s">
        <v>4</v>
      </c>
      <c r="F26" s="28" t="s">
        <v>70</v>
      </c>
      <c r="G26" s="28" t="s">
        <v>80</v>
      </c>
      <c r="H26" s="28" t="s">
        <v>72</v>
      </c>
      <c r="I26" s="27" t="s">
        <v>81</v>
      </c>
      <c r="J26" s="27" t="s">
        <v>190</v>
      </c>
      <c r="K26" s="30">
        <v>10499</v>
      </c>
      <c r="L26" s="27" t="s">
        <v>229</v>
      </c>
      <c r="M26" s="31">
        <v>45536</v>
      </c>
      <c r="N26" s="31">
        <v>45551</v>
      </c>
      <c r="O26" s="31" t="str">
        <f>TEXT(Table1[[#This Row],[ميعاد الطلب]],"mmm")</f>
        <v>Sep</v>
      </c>
      <c r="P26" s="31">
        <v>45543</v>
      </c>
      <c r="Q26" s="32">
        <f>Table1[[#This Row],[تاريخ التسليم]]-Table1[[#This Row],[ميعاد التسليم]]</f>
        <v>-8</v>
      </c>
      <c r="R26" s="29" t="str">
        <f>IF(Table1[[#This Row],[مده التوصيل]]&lt;=0, "yes", "no")</f>
        <v>yes</v>
      </c>
      <c r="S26" s="28" t="s">
        <v>191</v>
      </c>
      <c r="T26" s="28" t="s">
        <v>100</v>
      </c>
    </row>
    <row r="27" spans="1:20" ht="20.100000000000001" customHeight="1" x14ac:dyDescent="0.25">
      <c r="A27" s="28" t="s">
        <v>24</v>
      </c>
      <c r="B27" s="27" t="s">
        <v>225</v>
      </c>
      <c r="C27" s="28" t="s">
        <v>18</v>
      </c>
      <c r="D27" s="28" t="s">
        <v>173</v>
      </c>
      <c r="E27" s="28" t="s">
        <v>24</v>
      </c>
      <c r="F27" s="28" t="s">
        <v>104</v>
      </c>
      <c r="G27" s="28" t="s">
        <v>166</v>
      </c>
      <c r="H27" s="28" t="s">
        <v>128</v>
      </c>
      <c r="I27" s="27" t="s">
        <v>82</v>
      </c>
      <c r="J27" s="27" t="s">
        <v>159</v>
      </c>
      <c r="K27" s="30">
        <v>8700</v>
      </c>
      <c r="L27" s="27" t="s">
        <v>36</v>
      </c>
      <c r="M27" s="31">
        <v>45640</v>
      </c>
      <c r="N27" s="31">
        <v>45662</v>
      </c>
      <c r="O27" s="31" t="str">
        <f>TEXT(Table1[[#This Row],[ميعاد الطلب]],"mmm")</f>
        <v>Dec</v>
      </c>
      <c r="P27" s="31">
        <v>45655</v>
      </c>
      <c r="Q27" s="32">
        <f>Table1[[#This Row],[تاريخ التسليم]]-Table1[[#This Row],[ميعاد التسليم]]</f>
        <v>-7</v>
      </c>
      <c r="R27" s="29" t="str">
        <f>IF(Table1[[#This Row],[مده التوصيل]]&lt;=0, "yes", "no")</f>
        <v>yes</v>
      </c>
      <c r="S27" s="28" t="s">
        <v>192</v>
      </c>
      <c r="T27" s="28" t="s">
        <v>100</v>
      </c>
    </row>
    <row r="28" spans="1:20" ht="20.100000000000001" customHeight="1" x14ac:dyDescent="0.25">
      <c r="A28" s="28" t="s">
        <v>138</v>
      </c>
      <c r="B28" s="27" t="s">
        <v>221</v>
      </c>
      <c r="C28" s="28" t="s">
        <v>23</v>
      </c>
      <c r="D28" s="28" t="s">
        <v>173</v>
      </c>
      <c r="E28" s="28" t="s">
        <v>139</v>
      </c>
      <c r="F28" s="28" t="s">
        <v>70</v>
      </c>
      <c r="G28" s="28" t="s">
        <v>73</v>
      </c>
      <c r="H28" s="29" t="s">
        <v>74</v>
      </c>
      <c r="I28" s="27" t="s">
        <v>88</v>
      </c>
      <c r="J28" s="27" t="s">
        <v>81</v>
      </c>
      <c r="K28" s="30">
        <v>6000</v>
      </c>
      <c r="L28" s="27" t="s">
        <v>229</v>
      </c>
      <c r="M28" s="31">
        <v>45618</v>
      </c>
      <c r="N28" s="31">
        <v>45628</v>
      </c>
      <c r="O28" s="31" t="str">
        <f>TEXT(Table1[[#This Row],[ميعاد الطلب]],"mmm")</f>
        <v>Nov</v>
      </c>
      <c r="P28" s="31">
        <v>45623</v>
      </c>
      <c r="Q28" s="32">
        <f>Table1[[#This Row],[تاريخ التسليم]]-Table1[[#This Row],[ميعاد التسليم]]</f>
        <v>-5</v>
      </c>
      <c r="R28" s="29" t="str">
        <f>IF(Table1[[#This Row],[مده التوصيل]]&lt;=0, "yes", "no")</f>
        <v>yes</v>
      </c>
      <c r="S28" s="28" t="s">
        <v>192</v>
      </c>
      <c r="T28" s="28" t="s">
        <v>100</v>
      </c>
    </row>
    <row r="29" spans="1:20" ht="20.100000000000001" customHeight="1" x14ac:dyDescent="0.25">
      <c r="A29" s="28" t="s">
        <v>156</v>
      </c>
      <c r="B29" s="27" t="s">
        <v>221</v>
      </c>
      <c r="C29" s="28" t="s">
        <v>23</v>
      </c>
      <c r="D29" s="28" t="s">
        <v>173</v>
      </c>
      <c r="E29" s="28" t="s">
        <v>4</v>
      </c>
      <c r="F29" s="28" t="s">
        <v>142</v>
      </c>
      <c r="G29" s="28" t="s">
        <v>157</v>
      </c>
      <c r="H29" s="28" t="s">
        <v>4</v>
      </c>
      <c r="I29" s="27" t="s">
        <v>82</v>
      </c>
      <c r="J29" s="27" t="s">
        <v>147</v>
      </c>
      <c r="K29" s="30">
        <v>11199</v>
      </c>
      <c r="L29" s="27" t="s">
        <v>229</v>
      </c>
      <c r="M29" s="31">
        <v>45638</v>
      </c>
      <c r="N29" s="31">
        <v>45650</v>
      </c>
      <c r="O29" s="31" t="str">
        <f>TEXT(Table1[[#This Row],[ميعاد الطلب]],"mmm")</f>
        <v>Dec</v>
      </c>
      <c r="P29" s="31">
        <v>45645</v>
      </c>
      <c r="Q29" s="32">
        <f>Table1[[#This Row],[تاريخ التسليم]]-Table1[[#This Row],[ميعاد التسليم]]</f>
        <v>-5</v>
      </c>
      <c r="R29" s="29" t="str">
        <f>IF(Table1[[#This Row],[مده التوصيل]]&lt;=0, "yes", "no")</f>
        <v>yes</v>
      </c>
      <c r="S29" s="28" t="s">
        <v>192</v>
      </c>
      <c r="T29" s="28" t="s">
        <v>100</v>
      </c>
    </row>
    <row r="30" spans="1:20" ht="20.100000000000001" customHeight="1" x14ac:dyDescent="0.25">
      <c r="A30" s="28" t="s">
        <v>35</v>
      </c>
      <c r="B30" s="27" t="s">
        <v>225</v>
      </c>
      <c r="C30" s="28" t="s">
        <v>176</v>
      </c>
      <c r="D30" s="28" t="s">
        <v>169</v>
      </c>
      <c r="E30" s="28" t="s">
        <v>26</v>
      </c>
      <c r="F30" s="28" t="s">
        <v>70</v>
      </c>
      <c r="G30" s="28" t="s">
        <v>134</v>
      </c>
      <c r="H30" s="29" t="s">
        <v>74</v>
      </c>
      <c r="I30" s="27" t="s">
        <v>84</v>
      </c>
      <c r="J30" s="27" t="s">
        <v>190</v>
      </c>
      <c r="K30" s="30">
        <v>5217</v>
      </c>
      <c r="L30" s="27" t="s">
        <v>36</v>
      </c>
      <c r="M30" s="31">
        <v>45627</v>
      </c>
      <c r="N30" s="31">
        <v>45640</v>
      </c>
      <c r="O30" s="31" t="str">
        <f>TEXT(Table1[[#This Row],[ميعاد الطلب]],"mmm")</f>
        <v>Dec</v>
      </c>
      <c r="P30" s="31">
        <v>45636</v>
      </c>
      <c r="Q30" s="32">
        <f>Table1[[#This Row],[تاريخ التسليم]]-Table1[[#This Row],[ميعاد التسليم]]</f>
        <v>-4</v>
      </c>
      <c r="R30" s="29" t="str">
        <f>IF(Table1[[#This Row],[مده التوصيل]]&lt;=0, "yes", "no")</f>
        <v>yes</v>
      </c>
      <c r="S30" s="28" t="s">
        <v>192</v>
      </c>
      <c r="T30" s="28" t="s">
        <v>100</v>
      </c>
    </row>
    <row r="31" spans="1:20" ht="20.100000000000001" customHeight="1" x14ac:dyDescent="0.25">
      <c r="A31" s="28" t="s">
        <v>9</v>
      </c>
      <c r="B31" s="27" t="s">
        <v>221</v>
      </c>
      <c r="C31" s="28" t="s">
        <v>168</v>
      </c>
      <c r="D31" s="28" t="s">
        <v>169</v>
      </c>
      <c r="E31" s="28" t="s">
        <v>4</v>
      </c>
      <c r="F31" s="28" t="s">
        <v>70</v>
      </c>
      <c r="G31" s="28" t="s">
        <v>71</v>
      </c>
      <c r="H31" s="28" t="s">
        <v>4</v>
      </c>
      <c r="I31" s="27" t="s">
        <v>81</v>
      </c>
      <c r="J31" s="27" t="s">
        <v>81</v>
      </c>
      <c r="K31" s="30">
        <v>10160</v>
      </c>
      <c r="L31" s="27" t="s">
        <v>10</v>
      </c>
      <c r="M31" s="31">
        <v>45500</v>
      </c>
      <c r="N31" s="31">
        <v>45511</v>
      </c>
      <c r="O31" s="31" t="str">
        <f>TEXT(Table1[[#This Row],[ميعاد الطلب]],"mmm")</f>
        <v>Jul</v>
      </c>
      <c r="P31" s="31">
        <v>45514</v>
      </c>
      <c r="Q31" s="32">
        <v>-3</v>
      </c>
      <c r="R31" s="29" t="str">
        <f>IF(Table1[[#This Row],[مده التوصيل]]&lt;=0, "yes", "no")</f>
        <v>yes</v>
      </c>
      <c r="S31" s="28" t="s">
        <v>191</v>
      </c>
      <c r="T31" s="28" t="s">
        <v>100</v>
      </c>
    </row>
    <row r="32" spans="1:20" ht="20.100000000000001" customHeight="1" x14ac:dyDescent="0.25">
      <c r="A32" s="28" t="s">
        <v>11</v>
      </c>
      <c r="B32" s="27" t="s">
        <v>221</v>
      </c>
      <c r="C32" s="28" t="s">
        <v>170</v>
      </c>
      <c r="D32" s="28" t="s">
        <v>171</v>
      </c>
      <c r="E32" s="28" t="s">
        <v>4</v>
      </c>
      <c r="F32" s="28" t="s">
        <v>70</v>
      </c>
      <c r="G32" s="28" t="s">
        <v>71</v>
      </c>
      <c r="H32" s="28" t="s">
        <v>4</v>
      </c>
      <c r="I32" s="27" t="s">
        <v>82</v>
      </c>
      <c r="J32" s="27" t="s">
        <v>82</v>
      </c>
      <c r="K32" s="30">
        <v>10160</v>
      </c>
      <c r="L32" s="27" t="s">
        <v>229</v>
      </c>
      <c r="M32" s="31">
        <v>45501</v>
      </c>
      <c r="N32" s="31">
        <v>45512</v>
      </c>
      <c r="O32" s="31" t="str">
        <f>TEXT(Table1[[#This Row],[ميعاد الطلب]],"mmm")</f>
        <v>Jul</v>
      </c>
      <c r="P32" s="31">
        <v>45515</v>
      </c>
      <c r="Q32" s="32">
        <v>-3</v>
      </c>
      <c r="R32" s="29" t="str">
        <f>IF(Table1[[#This Row],[مده التوصيل]]&lt;=0, "yes", "no")</f>
        <v>yes</v>
      </c>
      <c r="S32" s="28" t="s">
        <v>191</v>
      </c>
      <c r="T32" s="28" t="s">
        <v>100</v>
      </c>
    </row>
    <row r="33" spans="1:20" ht="20.100000000000001" customHeight="1" x14ac:dyDescent="0.25">
      <c r="A33" s="28" t="s">
        <v>31</v>
      </c>
      <c r="B33" s="27" t="s">
        <v>221</v>
      </c>
      <c r="C33" s="28" t="s">
        <v>153</v>
      </c>
      <c r="D33" s="28" t="s">
        <v>173</v>
      </c>
      <c r="E33" s="28" t="s">
        <v>4</v>
      </c>
      <c r="F33" s="28" t="s">
        <v>142</v>
      </c>
      <c r="G33" s="28" t="s">
        <v>94</v>
      </c>
      <c r="H33" s="28" t="s">
        <v>4</v>
      </c>
      <c r="I33" s="27" t="s">
        <v>82</v>
      </c>
      <c r="J33" s="27" t="s">
        <v>190</v>
      </c>
      <c r="K33" s="30">
        <v>7849</v>
      </c>
      <c r="L33" s="27" t="s">
        <v>229</v>
      </c>
      <c r="M33" s="31">
        <v>45547</v>
      </c>
      <c r="N33" s="31">
        <v>45561</v>
      </c>
      <c r="O33" s="31" t="str">
        <f>TEXT(Table1[[#This Row],[ميعاد الطلب]],"mmm")</f>
        <v>Sep</v>
      </c>
      <c r="P33" s="31">
        <v>45564</v>
      </c>
      <c r="Q33" s="32">
        <v>-3</v>
      </c>
      <c r="R33" s="29" t="str">
        <f>IF(Table1[[#This Row],[مده التوصيل]]&lt;=0, "yes", "no")</f>
        <v>yes</v>
      </c>
      <c r="S33" s="28" t="s">
        <v>191</v>
      </c>
      <c r="T33" s="28" t="s">
        <v>100</v>
      </c>
    </row>
    <row r="34" spans="1:20" ht="20.100000000000001" customHeight="1" x14ac:dyDescent="0.25">
      <c r="A34" s="28" t="s">
        <v>43</v>
      </c>
      <c r="B34" s="27" t="s">
        <v>221</v>
      </c>
      <c r="C34" s="28" t="s">
        <v>23</v>
      </c>
      <c r="D34" s="28" t="s">
        <v>173</v>
      </c>
      <c r="E34" s="28" t="s">
        <v>4</v>
      </c>
      <c r="F34" s="28" t="s">
        <v>104</v>
      </c>
      <c r="G34" s="28" t="s">
        <v>166</v>
      </c>
      <c r="H34" s="28" t="s">
        <v>4</v>
      </c>
      <c r="I34" s="27" t="s">
        <v>82</v>
      </c>
      <c r="J34" s="33" t="s">
        <v>86</v>
      </c>
      <c r="K34" s="30">
        <v>21999</v>
      </c>
      <c r="L34" s="27" t="s">
        <v>10</v>
      </c>
      <c r="M34" s="31">
        <v>45548</v>
      </c>
      <c r="N34" s="31">
        <v>45565</v>
      </c>
      <c r="O34" s="31" t="str">
        <f>TEXT(Table1[[#This Row],[ميعاد الطلب]],"mmm")</f>
        <v>Sep</v>
      </c>
      <c r="P34" s="31">
        <v>45568</v>
      </c>
      <c r="Q34" s="32">
        <v>-3</v>
      </c>
      <c r="R34" s="29" t="str">
        <f>IF(Table1[[#This Row],[مده التوصيل]]&lt;=0, "yes", "no")</f>
        <v>yes</v>
      </c>
      <c r="S34" s="28" t="s">
        <v>192</v>
      </c>
      <c r="T34" s="28" t="s">
        <v>100</v>
      </c>
    </row>
    <row r="35" spans="1:20" ht="20.100000000000001" customHeight="1" x14ac:dyDescent="0.25">
      <c r="A35" s="28" t="s">
        <v>121</v>
      </c>
      <c r="B35" s="27" t="s">
        <v>221</v>
      </c>
      <c r="C35" s="28" t="s">
        <v>174</v>
      </c>
      <c r="D35" s="28" t="s">
        <v>173</v>
      </c>
      <c r="E35" s="28" t="s">
        <v>130</v>
      </c>
      <c r="F35" s="28" t="s">
        <v>70</v>
      </c>
      <c r="G35" s="28" t="s">
        <v>73</v>
      </c>
      <c r="H35" s="28" t="s">
        <v>74</v>
      </c>
      <c r="I35" s="27" t="s">
        <v>113</v>
      </c>
      <c r="J35" s="27" t="s">
        <v>122</v>
      </c>
      <c r="K35" s="30">
        <v>5135</v>
      </c>
      <c r="L35" s="27" t="s">
        <v>10</v>
      </c>
      <c r="M35" s="31">
        <v>45585</v>
      </c>
      <c r="N35" s="31">
        <v>45613</v>
      </c>
      <c r="O35" s="31" t="str">
        <f>TEXT(Table1[[#This Row],[ميعاد الطلب]],"mmm")</f>
        <v>Oct</v>
      </c>
      <c r="P35" s="31">
        <v>45610</v>
      </c>
      <c r="Q35" s="32">
        <f>Table1[[#This Row],[تاريخ التسليم]]-Table1[[#This Row],[ميعاد التسليم]]</f>
        <v>-3</v>
      </c>
      <c r="R35" s="29" t="str">
        <f>IF(Table1[[#This Row],[مده التوصيل]]&lt;=0, "yes", "no")</f>
        <v>yes</v>
      </c>
      <c r="S35" s="28" t="s">
        <v>192</v>
      </c>
      <c r="T35" s="28" t="s">
        <v>100</v>
      </c>
    </row>
    <row r="36" spans="1:20" ht="20.100000000000001" customHeight="1" x14ac:dyDescent="0.25">
      <c r="A36" s="28" t="s">
        <v>133</v>
      </c>
      <c r="B36" s="27" t="s">
        <v>221</v>
      </c>
      <c r="C36" s="28" t="s">
        <v>18</v>
      </c>
      <c r="D36" s="28" t="s">
        <v>173</v>
      </c>
      <c r="E36" s="28" t="s">
        <v>4</v>
      </c>
      <c r="F36" s="28" t="s">
        <v>70</v>
      </c>
      <c r="G36" s="28" t="s">
        <v>80</v>
      </c>
      <c r="H36" s="29" t="s">
        <v>74</v>
      </c>
      <c r="I36" s="27" t="s">
        <v>81</v>
      </c>
      <c r="J36" s="27" t="s">
        <v>190</v>
      </c>
      <c r="K36" s="30">
        <v>12919</v>
      </c>
      <c r="L36" s="27" t="s">
        <v>10</v>
      </c>
      <c r="M36" s="31">
        <v>45610</v>
      </c>
      <c r="N36" s="31">
        <v>45626</v>
      </c>
      <c r="O36" s="31" t="str">
        <f>TEXT(Table1[[#This Row],[ميعاد الطلب]],"mmm")</f>
        <v>Nov</v>
      </c>
      <c r="P36" s="31">
        <v>45623</v>
      </c>
      <c r="Q36" s="32">
        <f>Table1[[#This Row],[تاريخ التسليم]]-Table1[[#This Row],[ميعاد التسليم]]</f>
        <v>-3</v>
      </c>
      <c r="R36" s="29" t="str">
        <f>IF(Table1[[#This Row],[مده التوصيل]]&lt;=0, "yes", "no")</f>
        <v>yes</v>
      </c>
      <c r="S36" s="28" t="s">
        <v>192</v>
      </c>
      <c r="T36" s="28" t="s">
        <v>100</v>
      </c>
    </row>
    <row r="37" spans="1:20" ht="20.100000000000001" customHeight="1" x14ac:dyDescent="0.25">
      <c r="A37" s="28" t="s">
        <v>35</v>
      </c>
      <c r="B37" s="27" t="s">
        <v>225</v>
      </c>
      <c r="C37" s="28" t="s">
        <v>176</v>
      </c>
      <c r="D37" s="28" t="s">
        <v>169</v>
      </c>
      <c r="E37" s="28" t="s">
        <v>26</v>
      </c>
      <c r="F37" s="28" t="s">
        <v>70</v>
      </c>
      <c r="G37" s="28" t="s">
        <v>80</v>
      </c>
      <c r="H37" s="28" t="s">
        <v>72</v>
      </c>
      <c r="I37" s="27" t="s">
        <v>86</v>
      </c>
      <c r="J37" s="27" t="s">
        <v>190</v>
      </c>
      <c r="K37" s="30">
        <v>6376</v>
      </c>
      <c r="L37" s="27" t="s">
        <v>36</v>
      </c>
      <c r="M37" s="31">
        <v>45610</v>
      </c>
      <c r="N37" s="31">
        <v>45623</v>
      </c>
      <c r="O37" s="31" t="str">
        <f>TEXT(Table1[[#This Row],[ميعاد الطلب]],"mmm")</f>
        <v>Nov</v>
      </c>
      <c r="P37" s="31">
        <v>45621</v>
      </c>
      <c r="Q37" s="32">
        <f>Table1[[#This Row],[تاريخ التسليم]]-Table1[[#This Row],[ميعاد التسليم]]</f>
        <v>-2</v>
      </c>
      <c r="R37" s="29" t="str">
        <f>IF(Table1[[#This Row],[مده التوصيل]]&lt;=0, "yes", "no")</f>
        <v>yes</v>
      </c>
      <c r="S37" s="28" t="s">
        <v>192</v>
      </c>
      <c r="T37" s="28" t="s">
        <v>100</v>
      </c>
    </row>
    <row r="38" spans="1:20" ht="20.100000000000001" customHeight="1" x14ac:dyDescent="0.25">
      <c r="A38" s="28" t="s">
        <v>35</v>
      </c>
      <c r="B38" s="27" t="s">
        <v>225</v>
      </c>
      <c r="C38" s="28" t="s">
        <v>176</v>
      </c>
      <c r="D38" s="28" t="s">
        <v>169</v>
      </c>
      <c r="E38" s="28" t="s">
        <v>26</v>
      </c>
      <c r="F38" s="28" t="s">
        <v>70</v>
      </c>
      <c r="G38" s="28" t="s">
        <v>134</v>
      </c>
      <c r="H38" s="28" t="s">
        <v>72</v>
      </c>
      <c r="I38" s="27" t="s">
        <v>82</v>
      </c>
      <c r="J38" s="27" t="s">
        <v>190</v>
      </c>
      <c r="K38" s="30">
        <v>5294</v>
      </c>
      <c r="L38" s="27" t="s">
        <v>36</v>
      </c>
      <c r="M38" s="31">
        <v>45610</v>
      </c>
      <c r="N38" s="31">
        <v>45623</v>
      </c>
      <c r="O38" s="31" t="str">
        <f>TEXT(Table1[[#This Row],[ميعاد الطلب]],"mmm")</f>
        <v>Nov</v>
      </c>
      <c r="P38" s="31">
        <v>45621</v>
      </c>
      <c r="Q38" s="32">
        <f>Table1[[#This Row],[تاريخ التسليم]]-Table1[[#This Row],[ميعاد التسليم]]</f>
        <v>-2</v>
      </c>
      <c r="R38" s="29" t="str">
        <f>IF(Table1[[#This Row],[مده التوصيل]]&lt;=0, "yes", "no")</f>
        <v>yes</v>
      </c>
      <c r="S38" s="28" t="s">
        <v>192</v>
      </c>
      <c r="T38" s="28" t="s">
        <v>100</v>
      </c>
    </row>
    <row r="39" spans="1:20" ht="20.100000000000001" customHeight="1" x14ac:dyDescent="0.25">
      <c r="A39" s="28" t="s">
        <v>135</v>
      </c>
      <c r="B39" s="27" t="s">
        <v>221</v>
      </c>
      <c r="C39" s="28" t="s">
        <v>172</v>
      </c>
      <c r="D39" s="28" t="s">
        <v>169</v>
      </c>
      <c r="E39" s="28" t="s">
        <v>74</v>
      </c>
      <c r="F39" s="28" t="s">
        <v>70</v>
      </c>
      <c r="G39" s="28" t="s">
        <v>134</v>
      </c>
      <c r="H39" s="29" t="s">
        <v>74</v>
      </c>
      <c r="I39" s="27" t="s">
        <v>81</v>
      </c>
      <c r="J39" s="27" t="s">
        <v>190</v>
      </c>
      <c r="K39" s="30">
        <v>7396</v>
      </c>
      <c r="L39" s="27" t="s">
        <v>10</v>
      </c>
      <c r="M39" s="31">
        <v>45613</v>
      </c>
      <c r="N39" s="31">
        <v>45624</v>
      </c>
      <c r="O39" s="31" t="str">
        <f>TEXT(Table1[[#This Row],[ميعاد الطلب]],"mmm")</f>
        <v>Nov</v>
      </c>
      <c r="P39" s="31">
        <v>45622</v>
      </c>
      <c r="Q39" s="32">
        <f>Table1[[#This Row],[تاريخ التسليم]]-Table1[[#This Row],[ميعاد التسليم]]</f>
        <v>-2</v>
      </c>
      <c r="R39" s="29" t="str">
        <f>IF(Table1[[#This Row],[مده التوصيل]]&lt;=0, "yes", "no")</f>
        <v>yes</v>
      </c>
      <c r="S39" s="28" t="s">
        <v>192</v>
      </c>
      <c r="T39" s="28" t="s">
        <v>100</v>
      </c>
    </row>
    <row r="40" spans="1:20" ht="20.100000000000001" customHeight="1" x14ac:dyDescent="0.25">
      <c r="A40" s="28" t="s">
        <v>17</v>
      </c>
      <c r="B40" s="27" t="s">
        <v>221</v>
      </c>
      <c r="C40" s="28" t="s">
        <v>18</v>
      </c>
      <c r="D40" s="28" t="s">
        <v>173</v>
      </c>
      <c r="E40" s="28" t="s">
        <v>139</v>
      </c>
      <c r="F40" s="28" t="s">
        <v>104</v>
      </c>
      <c r="G40" s="28" t="s">
        <v>166</v>
      </c>
      <c r="H40" s="28" t="s">
        <v>16</v>
      </c>
      <c r="I40" s="27" t="s">
        <v>82</v>
      </c>
      <c r="J40" s="27" t="s">
        <v>86</v>
      </c>
      <c r="K40" s="30">
        <v>12000</v>
      </c>
      <c r="L40" s="27" t="s">
        <v>229</v>
      </c>
      <c r="M40" s="31">
        <v>45521</v>
      </c>
      <c r="N40" s="31">
        <v>45524</v>
      </c>
      <c r="O40" s="31" t="str">
        <f>TEXT(Table1[[#This Row],[ميعاد الطلب]],"mmm")</f>
        <v>Aug</v>
      </c>
      <c r="P40" s="31">
        <v>45523</v>
      </c>
      <c r="Q40" s="32">
        <f>Table1[[#This Row],[تاريخ التسليم]]-Table1[[#This Row],[ميعاد التسليم]]</f>
        <v>-1</v>
      </c>
      <c r="R40" s="29" t="str">
        <f>IF(Table1[[#This Row],[مده التوصيل]]&lt;=0, "yes", "no")</f>
        <v>yes</v>
      </c>
      <c r="S40" s="28" t="s">
        <v>191</v>
      </c>
      <c r="T40" s="28" t="s">
        <v>100</v>
      </c>
    </row>
    <row r="41" spans="1:20" ht="20.100000000000001" customHeight="1" x14ac:dyDescent="0.25">
      <c r="A41" s="28" t="s">
        <v>25</v>
      </c>
      <c r="B41" s="27" t="s">
        <v>221</v>
      </c>
      <c r="C41" s="28" t="s">
        <v>18</v>
      </c>
      <c r="D41" s="28" t="s">
        <v>173</v>
      </c>
      <c r="E41" s="28" t="s">
        <v>26</v>
      </c>
      <c r="F41" s="28" t="s">
        <v>70</v>
      </c>
      <c r="G41" s="28" t="s">
        <v>80</v>
      </c>
      <c r="H41" s="29" t="s">
        <v>74</v>
      </c>
      <c r="I41" s="27" t="s">
        <v>82</v>
      </c>
      <c r="J41" s="27" t="s">
        <v>190</v>
      </c>
      <c r="K41" s="30">
        <v>6180</v>
      </c>
      <c r="L41" s="27" t="s">
        <v>229</v>
      </c>
      <c r="M41" s="31">
        <v>45538</v>
      </c>
      <c r="N41" s="31">
        <v>45551</v>
      </c>
      <c r="O41" s="31" t="str">
        <f>TEXT(Table1[[#This Row],[ميعاد الطلب]],"mmm")</f>
        <v>Sep</v>
      </c>
      <c r="P41" s="31">
        <v>45550</v>
      </c>
      <c r="Q41" s="32">
        <f>Table1[[#This Row],[تاريخ التسليم]]-Table1[[#This Row],[ميعاد التسليم]]</f>
        <v>-1</v>
      </c>
      <c r="R41" s="29" t="str">
        <f>IF(Table1[[#This Row],[مده التوصيل]]&lt;=0, "yes", "no")</f>
        <v>yes</v>
      </c>
      <c r="S41" s="28" t="s">
        <v>192</v>
      </c>
      <c r="T41" s="28" t="s">
        <v>100</v>
      </c>
    </row>
    <row r="42" spans="1:20" ht="20.100000000000001" customHeight="1" x14ac:dyDescent="0.25">
      <c r="A42" s="28" t="s">
        <v>25</v>
      </c>
      <c r="B42" s="27" t="s">
        <v>221</v>
      </c>
      <c r="C42" s="28" t="s">
        <v>18</v>
      </c>
      <c r="D42" s="28" t="s">
        <v>173</v>
      </c>
      <c r="E42" s="28" t="s">
        <v>26</v>
      </c>
      <c r="F42" s="28" t="s">
        <v>70</v>
      </c>
      <c r="G42" s="28" t="s">
        <v>80</v>
      </c>
      <c r="H42" s="29" t="s">
        <v>74</v>
      </c>
      <c r="I42" s="27" t="s">
        <v>82</v>
      </c>
      <c r="J42" s="27" t="s">
        <v>190</v>
      </c>
      <c r="K42" s="30">
        <v>6180</v>
      </c>
      <c r="L42" s="27" t="s">
        <v>229</v>
      </c>
      <c r="M42" s="31">
        <v>45538</v>
      </c>
      <c r="N42" s="31">
        <v>45551</v>
      </c>
      <c r="O42" s="31" t="str">
        <f>TEXT(Table1[[#This Row],[ميعاد الطلب]],"mmm")</f>
        <v>Sep</v>
      </c>
      <c r="P42" s="31">
        <v>45550</v>
      </c>
      <c r="Q42" s="32">
        <f>Table1[[#This Row],[تاريخ التسليم]]-Table1[[#This Row],[ميعاد التسليم]]</f>
        <v>-1</v>
      </c>
      <c r="R42" s="29" t="str">
        <f>IF(Table1[[#This Row],[مده التوصيل]]&lt;=0, "yes", "no")</f>
        <v>yes</v>
      </c>
      <c r="S42" s="28" t="s">
        <v>192</v>
      </c>
      <c r="T42" s="28" t="s">
        <v>100</v>
      </c>
    </row>
    <row r="43" spans="1:20" ht="20.100000000000001" customHeight="1" x14ac:dyDescent="0.25">
      <c r="A43" s="28" t="s">
        <v>24</v>
      </c>
      <c r="B43" s="27" t="s">
        <v>225</v>
      </c>
      <c r="C43" s="28" t="s">
        <v>18</v>
      </c>
      <c r="D43" s="28" t="s">
        <v>173</v>
      </c>
      <c r="E43" s="28" t="s">
        <v>24</v>
      </c>
      <c r="F43" s="28" t="s">
        <v>104</v>
      </c>
      <c r="G43" s="28" t="s">
        <v>166</v>
      </c>
      <c r="H43" s="28" t="s">
        <v>16</v>
      </c>
      <c r="I43" s="27" t="s">
        <v>82</v>
      </c>
      <c r="J43" s="27" t="s">
        <v>113</v>
      </c>
      <c r="K43" s="30">
        <v>14950</v>
      </c>
      <c r="L43" s="27" t="s">
        <v>10</v>
      </c>
      <c r="M43" s="31">
        <v>45561</v>
      </c>
      <c r="N43" s="31">
        <v>45579</v>
      </c>
      <c r="O43" s="31" t="str">
        <f>TEXT(Table1[[#This Row],[ميعاد الطلب]],"mmm")</f>
        <v>Sep</v>
      </c>
      <c r="P43" s="31">
        <v>45578</v>
      </c>
      <c r="Q43" s="32">
        <f>Table1[[#This Row],[تاريخ التسليم]]-Table1[[#This Row],[ميعاد التسليم]]</f>
        <v>-1</v>
      </c>
      <c r="R43" s="29" t="str">
        <f>IF(Table1[[#This Row],[مده التوصيل]]&lt;=0, "yes", "no")</f>
        <v>yes</v>
      </c>
      <c r="S43" s="28" t="s">
        <v>192</v>
      </c>
      <c r="T43" s="28" t="s">
        <v>100</v>
      </c>
    </row>
    <row r="44" spans="1:20" ht="20.100000000000001" customHeight="1" x14ac:dyDescent="0.25">
      <c r="A44" s="28" t="s">
        <v>130</v>
      </c>
      <c r="B44" s="27" t="s">
        <v>221</v>
      </c>
      <c r="C44" s="28" t="s">
        <v>18</v>
      </c>
      <c r="D44" s="28" t="s">
        <v>173</v>
      </c>
      <c r="E44" s="28" t="s">
        <v>130</v>
      </c>
      <c r="F44" s="28" t="s">
        <v>70</v>
      </c>
      <c r="G44" s="28" t="s">
        <v>73</v>
      </c>
      <c r="H44" s="28" t="s">
        <v>89</v>
      </c>
      <c r="I44" s="27" t="s">
        <v>81</v>
      </c>
      <c r="J44" s="27" t="s">
        <v>190</v>
      </c>
      <c r="K44" s="30">
        <v>4520</v>
      </c>
      <c r="L44" s="27" t="s">
        <v>36</v>
      </c>
      <c r="M44" s="31">
        <v>45606</v>
      </c>
      <c r="N44" s="31">
        <v>45618</v>
      </c>
      <c r="O44" s="31" t="str">
        <f>TEXT(Table1[[#This Row],[ميعاد الطلب]],"mmm")</f>
        <v>Nov</v>
      </c>
      <c r="P44" s="31">
        <v>45617</v>
      </c>
      <c r="Q44" s="32">
        <f>Table1[[#This Row],[تاريخ التسليم]]-Table1[[#This Row],[ميعاد التسليم]]</f>
        <v>-1</v>
      </c>
      <c r="R44" s="29" t="str">
        <f>IF(Table1[[#This Row],[مده التوصيل]]&lt;=0, "yes", "no")</f>
        <v>yes</v>
      </c>
      <c r="S44" s="28" t="s">
        <v>192</v>
      </c>
      <c r="T44" s="28" t="s">
        <v>100</v>
      </c>
    </row>
    <row r="45" spans="1:20" ht="20.100000000000001" customHeight="1" x14ac:dyDescent="0.25">
      <c r="A45" s="28" t="s">
        <v>35</v>
      </c>
      <c r="B45" s="27" t="s">
        <v>225</v>
      </c>
      <c r="C45" s="28" t="s">
        <v>176</v>
      </c>
      <c r="D45" s="28" t="s">
        <v>169</v>
      </c>
      <c r="E45" s="28" t="s">
        <v>26</v>
      </c>
      <c r="F45" s="28" t="s">
        <v>70</v>
      </c>
      <c r="G45" s="28" t="s">
        <v>80</v>
      </c>
      <c r="H45" s="29" t="s">
        <v>74</v>
      </c>
      <c r="I45" s="27" t="s">
        <v>82</v>
      </c>
      <c r="J45" s="27" t="s">
        <v>190</v>
      </c>
      <c r="K45" s="30">
        <v>5766</v>
      </c>
      <c r="L45" s="27" t="s">
        <v>36</v>
      </c>
      <c r="M45" s="31">
        <v>45608</v>
      </c>
      <c r="N45" s="31">
        <v>45622</v>
      </c>
      <c r="O45" s="31" t="str">
        <f>TEXT(Table1[[#This Row],[ميعاد الطلب]],"mmm")</f>
        <v>Nov</v>
      </c>
      <c r="P45" s="31">
        <v>45621</v>
      </c>
      <c r="Q45" s="32">
        <f>Table1[[#This Row],[تاريخ التسليم]]-Table1[[#This Row],[ميعاد التسليم]]</f>
        <v>-1</v>
      </c>
      <c r="R45" s="29" t="str">
        <f>IF(Table1[[#This Row],[مده التوصيل]]&lt;=0, "yes", "no")</f>
        <v>yes</v>
      </c>
      <c r="S45" s="28" t="s">
        <v>192</v>
      </c>
      <c r="T45" s="28" t="s">
        <v>100</v>
      </c>
    </row>
    <row r="46" spans="1:20" ht="20.100000000000001" customHeight="1" x14ac:dyDescent="0.25">
      <c r="A46" s="28" t="s">
        <v>12</v>
      </c>
      <c r="B46" s="27" t="s">
        <v>221</v>
      </c>
      <c r="C46" s="28" t="s">
        <v>189</v>
      </c>
      <c r="D46" s="28" t="s">
        <v>219</v>
      </c>
      <c r="E46" s="28" t="s">
        <v>4</v>
      </c>
      <c r="F46" s="28" t="s">
        <v>70</v>
      </c>
      <c r="G46" s="28" t="s">
        <v>80</v>
      </c>
      <c r="H46" s="29" t="s">
        <v>74</v>
      </c>
      <c r="I46" s="28" t="s">
        <v>84</v>
      </c>
      <c r="J46" s="28" t="s">
        <v>190</v>
      </c>
      <c r="K46" s="30">
        <v>11455</v>
      </c>
      <c r="L46" s="27" t="s">
        <v>229</v>
      </c>
      <c r="M46" s="31">
        <v>45500</v>
      </c>
      <c r="N46" s="28" t="s">
        <v>14</v>
      </c>
      <c r="O46" s="31" t="str">
        <f>TEXT(Table1[[#This Row],[ميعاد الطلب]],"mmm")</f>
        <v>Jul</v>
      </c>
      <c r="P46" s="28" t="s">
        <v>98</v>
      </c>
      <c r="Q46" s="28">
        <v>0</v>
      </c>
      <c r="R46" s="29" t="s">
        <v>216</v>
      </c>
      <c r="S46" s="28" t="s">
        <v>98</v>
      </c>
      <c r="T46" s="28" t="s">
        <v>98</v>
      </c>
    </row>
    <row r="47" spans="1:20" ht="20.100000000000001" customHeight="1" x14ac:dyDescent="0.25">
      <c r="A47" s="28" t="s">
        <v>15</v>
      </c>
      <c r="B47" s="27" t="s">
        <v>221</v>
      </c>
      <c r="C47" s="28" t="s">
        <v>189</v>
      </c>
      <c r="D47" s="28" t="s">
        <v>219</v>
      </c>
      <c r="E47" s="28" t="s">
        <v>4</v>
      </c>
      <c r="F47" s="28" t="s">
        <v>70</v>
      </c>
      <c r="G47" s="28" t="s">
        <v>80</v>
      </c>
      <c r="H47" s="28" t="s">
        <v>72</v>
      </c>
      <c r="I47" s="28" t="s">
        <v>86</v>
      </c>
      <c r="J47" s="28" t="s">
        <v>190</v>
      </c>
      <c r="K47" s="30">
        <v>12833</v>
      </c>
      <c r="L47" s="27" t="s">
        <v>229</v>
      </c>
      <c r="M47" s="31">
        <v>45520</v>
      </c>
      <c r="N47" s="31">
        <v>45535</v>
      </c>
      <c r="O47" s="31" t="str">
        <f>TEXT(Table1[[#This Row],[ميعاد الطلب]],"mmm")</f>
        <v>Aug</v>
      </c>
      <c r="P47" s="28" t="s">
        <v>98</v>
      </c>
      <c r="Q47" s="28">
        <v>0</v>
      </c>
      <c r="R47" s="29" t="s">
        <v>216</v>
      </c>
      <c r="S47" s="28" t="s">
        <v>98</v>
      </c>
      <c r="T47" s="28" t="s">
        <v>98</v>
      </c>
    </row>
    <row r="48" spans="1:20" ht="20.100000000000001" customHeight="1" x14ac:dyDescent="0.25">
      <c r="A48" s="28" t="s">
        <v>29</v>
      </c>
      <c r="B48" s="27" t="s">
        <v>221</v>
      </c>
      <c r="C48" s="28" t="s">
        <v>172</v>
      </c>
      <c r="D48" s="28" t="s">
        <v>169</v>
      </c>
      <c r="E48" s="28" t="s">
        <v>4</v>
      </c>
      <c r="F48" s="28" t="s">
        <v>70</v>
      </c>
      <c r="G48" s="28" t="s">
        <v>73</v>
      </c>
      <c r="H48" s="28" t="s">
        <v>72</v>
      </c>
      <c r="I48" s="28" t="s">
        <v>81</v>
      </c>
      <c r="J48" s="28" t="s">
        <v>190</v>
      </c>
      <c r="K48" s="30">
        <v>7295</v>
      </c>
      <c r="L48" s="27" t="s">
        <v>229</v>
      </c>
      <c r="M48" s="31">
        <v>45540</v>
      </c>
      <c r="N48" s="31">
        <v>45549</v>
      </c>
      <c r="O48" s="31" t="str">
        <f>TEXT(Table1[[#This Row],[ميعاد الطلب]],"mmm")</f>
        <v>Sep</v>
      </c>
      <c r="P48" s="28" t="s">
        <v>98</v>
      </c>
      <c r="Q48" s="28">
        <v>0</v>
      </c>
      <c r="R48" s="29" t="s">
        <v>216</v>
      </c>
      <c r="S48" s="28" t="s">
        <v>98</v>
      </c>
      <c r="T48" s="28" t="s">
        <v>98</v>
      </c>
    </row>
    <row r="49" spans="1:20" ht="20.100000000000001" customHeight="1" x14ac:dyDescent="0.25">
      <c r="A49" s="28" t="s">
        <v>28</v>
      </c>
      <c r="B49" s="27" t="s">
        <v>221</v>
      </c>
      <c r="C49" s="28" t="s">
        <v>174</v>
      </c>
      <c r="D49" s="28" t="s">
        <v>173</v>
      </c>
      <c r="E49" s="28" t="s">
        <v>4</v>
      </c>
      <c r="F49" s="28" t="s">
        <v>142</v>
      </c>
      <c r="G49" s="28" t="s">
        <v>94</v>
      </c>
      <c r="H49" s="28" t="s">
        <v>4</v>
      </c>
      <c r="I49" s="28" t="s">
        <v>82</v>
      </c>
      <c r="J49" s="28" t="s">
        <v>190</v>
      </c>
      <c r="K49" s="30">
        <v>7849</v>
      </c>
      <c r="L49" s="27" t="s">
        <v>10</v>
      </c>
      <c r="M49" s="31">
        <v>45539</v>
      </c>
      <c r="N49" s="31">
        <v>45551</v>
      </c>
      <c r="O49" s="31" t="str">
        <f>TEXT(Table1[[#This Row],[ميعاد الطلب]],"mmm")</f>
        <v>Sep</v>
      </c>
      <c r="P49" s="28" t="s">
        <v>98</v>
      </c>
      <c r="Q49" s="28">
        <v>0</v>
      </c>
      <c r="R49" s="29" t="s">
        <v>216</v>
      </c>
      <c r="S49" s="28" t="s">
        <v>191</v>
      </c>
      <c r="T49" s="28" t="s">
        <v>105</v>
      </c>
    </row>
    <row r="50" spans="1:20" ht="20.100000000000001" customHeight="1" x14ac:dyDescent="0.25">
      <c r="A50" s="28" t="s">
        <v>27</v>
      </c>
      <c r="B50" s="27" t="s">
        <v>221</v>
      </c>
      <c r="C50" s="28" t="s">
        <v>175</v>
      </c>
      <c r="D50" s="28" t="s">
        <v>173</v>
      </c>
      <c r="E50" s="28" t="s">
        <v>4</v>
      </c>
      <c r="F50" s="28" t="s">
        <v>70</v>
      </c>
      <c r="G50" s="28" t="s">
        <v>80</v>
      </c>
      <c r="H50" s="29" t="s">
        <v>74</v>
      </c>
      <c r="I50" s="28" t="s">
        <v>81</v>
      </c>
      <c r="J50" s="28" t="s">
        <v>190</v>
      </c>
      <c r="K50" s="30">
        <v>11199</v>
      </c>
      <c r="L50" s="27" t="s">
        <v>229</v>
      </c>
      <c r="M50" s="31">
        <v>45539</v>
      </c>
      <c r="N50" s="31">
        <v>45553</v>
      </c>
      <c r="O50" s="31" t="str">
        <f>TEXT(Table1[[#This Row],[ميعاد الطلب]],"mmm")</f>
        <v>Sep</v>
      </c>
      <c r="P50" s="28" t="s">
        <v>98</v>
      </c>
      <c r="Q50" s="28">
        <v>0</v>
      </c>
      <c r="R50" s="29" t="s">
        <v>216</v>
      </c>
      <c r="S50" s="28" t="s">
        <v>98</v>
      </c>
      <c r="T50" s="28" t="s">
        <v>98</v>
      </c>
    </row>
    <row r="51" spans="1:20" ht="20.100000000000001" customHeight="1" x14ac:dyDescent="0.25">
      <c r="A51" s="28" t="s">
        <v>45</v>
      </c>
      <c r="B51" s="27" t="s">
        <v>221</v>
      </c>
      <c r="C51" s="28" t="s">
        <v>46</v>
      </c>
      <c r="D51" s="28" t="s">
        <v>173</v>
      </c>
      <c r="E51" s="28" t="s">
        <v>4</v>
      </c>
      <c r="F51" s="28" t="s">
        <v>142</v>
      </c>
      <c r="G51" s="28" t="s">
        <v>94</v>
      </c>
      <c r="H51" s="28" t="s">
        <v>4</v>
      </c>
      <c r="I51" s="28" t="s">
        <v>82</v>
      </c>
      <c r="J51" s="34" t="s">
        <v>190</v>
      </c>
      <c r="K51" s="30">
        <v>8849</v>
      </c>
      <c r="L51" s="27" t="s">
        <v>10</v>
      </c>
      <c r="M51" s="31">
        <v>45538</v>
      </c>
      <c r="N51" s="31">
        <v>45581</v>
      </c>
      <c r="O51" s="31" t="str">
        <f>TEXT(Table1[[#This Row],[ميعاد الطلب]],"mmm")</f>
        <v>Sep</v>
      </c>
      <c r="P51" s="28" t="s">
        <v>98</v>
      </c>
      <c r="Q51" s="28">
        <v>0</v>
      </c>
      <c r="R51" s="29" t="s">
        <v>216</v>
      </c>
      <c r="S51" s="28" t="s">
        <v>98</v>
      </c>
      <c r="T51" s="28" t="s">
        <v>98</v>
      </c>
    </row>
    <row r="52" spans="1:20" ht="20.100000000000001" customHeight="1" x14ac:dyDescent="0.25">
      <c r="A52" s="28" t="s">
        <v>67</v>
      </c>
      <c r="B52" s="27" t="s">
        <v>221</v>
      </c>
      <c r="C52" s="28" t="s">
        <v>68</v>
      </c>
      <c r="D52" s="28" t="s">
        <v>107</v>
      </c>
      <c r="E52" s="28" t="s">
        <v>4</v>
      </c>
      <c r="F52" s="28" t="s">
        <v>70</v>
      </c>
      <c r="G52" s="28" t="s">
        <v>71</v>
      </c>
      <c r="H52" s="28" t="s">
        <v>4</v>
      </c>
      <c r="I52" s="28" t="s">
        <v>82</v>
      </c>
      <c r="J52" s="28" t="s">
        <v>82</v>
      </c>
      <c r="K52" s="30">
        <v>9399</v>
      </c>
      <c r="L52" s="27" t="s">
        <v>229</v>
      </c>
      <c r="M52" s="31">
        <v>45549</v>
      </c>
      <c r="N52" s="31">
        <v>45557</v>
      </c>
      <c r="O52" s="31" t="str">
        <f>TEXT(Table1[[#This Row],[ميعاد الطلب]],"mmm")</f>
        <v>Sep</v>
      </c>
      <c r="P52" s="28" t="s">
        <v>98</v>
      </c>
      <c r="Q52" s="28">
        <v>0</v>
      </c>
      <c r="R52" s="29" t="s">
        <v>216</v>
      </c>
      <c r="S52" s="28" t="s">
        <v>98</v>
      </c>
      <c r="T52" s="28" t="s">
        <v>98</v>
      </c>
    </row>
    <row r="53" spans="1:20" ht="20.100000000000001" customHeight="1" x14ac:dyDescent="0.25">
      <c r="A53" s="28" t="s">
        <v>34</v>
      </c>
      <c r="B53" s="27" t="s">
        <v>221</v>
      </c>
      <c r="C53" s="28" t="s">
        <v>178</v>
      </c>
      <c r="D53" s="28" t="s">
        <v>169</v>
      </c>
      <c r="E53" s="28" t="s">
        <v>139</v>
      </c>
      <c r="F53" s="28" t="s">
        <v>70</v>
      </c>
      <c r="G53" s="28" t="s">
        <v>85</v>
      </c>
      <c r="H53" s="29" t="s">
        <v>74</v>
      </c>
      <c r="I53" s="28" t="s">
        <v>82</v>
      </c>
      <c r="J53" s="34" t="s">
        <v>190</v>
      </c>
      <c r="K53" s="30">
        <v>9450</v>
      </c>
      <c r="L53" s="27" t="s">
        <v>229</v>
      </c>
      <c r="M53" s="31">
        <v>45547</v>
      </c>
      <c r="N53" s="31">
        <v>45561</v>
      </c>
      <c r="O53" s="31" t="str">
        <f>TEXT(Table1[[#This Row],[ميعاد الطلب]],"mmm")</f>
        <v>Sep</v>
      </c>
      <c r="P53" s="28" t="s">
        <v>98</v>
      </c>
      <c r="Q53" s="28">
        <v>0</v>
      </c>
      <c r="R53" s="29" t="s">
        <v>216</v>
      </c>
      <c r="S53" s="28" t="s">
        <v>98</v>
      </c>
      <c r="T53" s="28" t="s">
        <v>98</v>
      </c>
    </row>
    <row r="54" spans="1:20" ht="20.100000000000001" customHeight="1" x14ac:dyDescent="0.25">
      <c r="A54" s="28" t="s">
        <v>32</v>
      </c>
      <c r="B54" s="27" t="s">
        <v>221</v>
      </c>
      <c r="C54" s="28" t="s">
        <v>37</v>
      </c>
      <c r="D54" s="28" t="s">
        <v>173</v>
      </c>
      <c r="E54" s="28" t="s">
        <v>4</v>
      </c>
      <c r="F54" s="28" t="s">
        <v>70</v>
      </c>
      <c r="G54" s="28" t="s">
        <v>80</v>
      </c>
      <c r="H54" s="28" t="s">
        <v>72</v>
      </c>
      <c r="I54" s="28" t="s">
        <v>82</v>
      </c>
      <c r="J54" s="28" t="s">
        <v>190</v>
      </c>
      <c r="K54" s="30">
        <v>5999</v>
      </c>
      <c r="L54" s="27" t="s">
        <v>10</v>
      </c>
      <c r="M54" s="31">
        <v>45547</v>
      </c>
      <c r="N54" s="31">
        <v>45564</v>
      </c>
      <c r="O54" s="31" t="str">
        <f>TEXT(Table1[[#This Row],[ميعاد الطلب]],"mmm")</f>
        <v>Sep</v>
      </c>
      <c r="P54" s="28" t="s">
        <v>98</v>
      </c>
      <c r="Q54" s="28">
        <v>0</v>
      </c>
      <c r="R54" s="29" t="s">
        <v>216</v>
      </c>
      <c r="S54" s="28" t="s">
        <v>98</v>
      </c>
      <c r="T54" s="28" t="s">
        <v>98</v>
      </c>
    </row>
    <row r="55" spans="1:20" ht="20.100000000000001" customHeight="1" x14ac:dyDescent="0.25">
      <c r="A55" s="28" t="s">
        <v>58</v>
      </c>
      <c r="B55" s="27" t="s">
        <v>221</v>
      </c>
      <c r="C55" s="28" t="s">
        <v>59</v>
      </c>
      <c r="D55" s="28" t="s">
        <v>173</v>
      </c>
      <c r="E55" s="28" t="s">
        <v>4</v>
      </c>
      <c r="F55" s="28" t="s">
        <v>70</v>
      </c>
      <c r="G55" s="28" t="s">
        <v>73</v>
      </c>
      <c r="H55" s="28" t="s">
        <v>89</v>
      </c>
      <c r="I55" s="34" t="s">
        <v>81</v>
      </c>
      <c r="J55" s="34" t="s">
        <v>190</v>
      </c>
      <c r="K55" s="30">
        <v>17886</v>
      </c>
      <c r="L55" s="27" t="s">
        <v>229</v>
      </c>
      <c r="M55" s="31">
        <v>45549</v>
      </c>
      <c r="N55" s="31">
        <v>45594</v>
      </c>
      <c r="O55" s="31" t="str">
        <f>TEXT(Table1[[#This Row],[ميعاد الطلب]],"mmm")</f>
        <v>Sep</v>
      </c>
      <c r="P55" s="28" t="s">
        <v>98</v>
      </c>
      <c r="Q55" s="28">
        <v>0</v>
      </c>
      <c r="R55" s="29" t="s">
        <v>216</v>
      </c>
      <c r="S55" s="28" t="s">
        <v>98</v>
      </c>
      <c r="T55" s="28" t="s">
        <v>98</v>
      </c>
    </row>
    <row r="56" spans="1:20" ht="20.100000000000001" customHeight="1" x14ac:dyDescent="0.25">
      <c r="A56" s="28" t="s">
        <v>58</v>
      </c>
      <c r="B56" s="27" t="s">
        <v>221</v>
      </c>
      <c r="C56" s="28" t="s">
        <v>59</v>
      </c>
      <c r="D56" s="28" t="s">
        <v>173</v>
      </c>
      <c r="E56" s="28" t="s">
        <v>4</v>
      </c>
      <c r="F56" s="28" t="s">
        <v>70</v>
      </c>
      <c r="G56" s="28" t="s">
        <v>73</v>
      </c>
      <c r="H56" s="28" t="s">
        <v>89</v>
      </c>
      <c r="I56" s="34" t="s">
        <v>81</v>
      </c>
      <c r="J56" s="34" t="s">
        <v>190</v>
      </c>
      <c r="K56" s="30">
        <v>17886</v>
      </c>
      <c r="L56" s="27" t="s">
        <v>229</v>
      </c>
      <c r="M56" s="31">
        <v>45549</v>
      </c>
      <c r="N56" s="31">
        <v>45594</v>
      </c>
      <c r="O56" s="31" t="str">
        <f>TEXT(Table1[[#This Row],[ميعاد الطلب]],"mmm")</f>
        <v>Sep</v>
      </c>
      <c r="P56" s="28" t="s">
        <v>98</v>
      </c>
      <c r="Q56" s="28">
        <v>0</v>
      </c>
      <c r="R56" s="29" t="s">
        <v>216</v>
      </c>
      <c r="S56" s="28" t="s">
        <v>98</v>
      </c>
      <c r="T56" s="28" t="s">
        <v>98</v>
      </c>
    </row>
    <row r="57" spans="1:20" ht="20.100000000000001" customHeight="1" x14ac:dyDescent="0.25">
      <c r="A57" s="28" t="s">
        <v>51</v>
      </c>
      <c r="B57" s="27" t="s">
        <v>221</v>
      </c>
      <c r="C57" s="28" t="s">
        <v>52</v>
      </c>
      <c r="D57" s="28" t="s">
        <v>52</v>
      </c>
      <c r="E57" s="28" t="s">
        <v>4</v>
      </c>
      <c r="F57" s="28" t="s">
        <v>104</v>
      </c>
      <c r="G57" s="28" t="s">
        <v>166</v>
      </c>
      <c r="H57" s="28" t="s">
        <v>4</v>
      </c>
      <c r="I57" s="28" t="s">
        <v>82</v>
      </c>
      <c r="J57" s="28" t="s">
        <v>86</v>
      </c>
      <c r="K57" s="30">
        <v>21999</v>
      </c>
      <c r="L57" s="27" t="s">
        <v>10</v>
      </c>
      <c r="M57" s="31">
        <v>45549</v>
      </c>
      <c r="N57" s="31">
        <v>45616</v>
      </c>
      <c r="O57" s="31" t="str">
        <f>TEXT(Table1[[#This Row],[ميعاد الطلب]],"mmm")</f>
        <v>Sep</v>
      </c>
      <c r="P57" s="28" t="s">
        <v>98</v>
      </c>
      <c r="Q57" s="28">
        <v>0</v>
      </c>
      <c r="R57" s="29" t="s">
        <v>216</v>
      </c>
      <c r="S57" s="28" t="s">
        <v>98</v>
      </c>
      <c r="T57" s="28" t="s">
        <v>98</v>
      </c>
    </row>
    <row r="58" spans="1:20" ht="20.100000000000001" customHeight="1" x14ac:dyDescent="0.25">
      <c r="A58" s="28" t="s">
        <v>103</v>
      </c>
      <c r="B58" s="27" t="s">
        <v>221</v>
      </c>
      <c r="C58" s="28" t="s">
        <v>172</v>
      </c>
      <c r="D58" s="28" t="s">
        <v>169</v>
      </c>
      <c r="E58" s="28" t="s">
        <v>4</v>
      </c>
      <c r="F58" s="28" t="s">
        <v>142</v>
      </c>
      <c r="G58" s="28" t="s">
        <v>96</v>
      </c>
      <c r="H58" s="28" t="s">
        <v>4</v>
      </c>
      <c r="I58" s="28" t="s">
        <v>82</v>
      </c>
      <c r="J58" s="28" t="s">
        <v>190</v>
      </c>
      <c r="K58" s="30">
        <v>8349</v>
      </c>
      <c r="L58" s="27" t="s">
        <v>229</v>
      </c>
      <c r="M58" s="31">
        <v>45561</v>
      </c>
      <c r="N58" s="31">
        <v>45606</v>
      </c>
      <c r="O58" s="31" t="str">
        <f>TEXT(Table1[[#This Row],[ميعاد الطلب]],"mmm")</f>
        <v>Sep</v>
      </c>
      <c r="P58" s="28" t="s">
        <v>98</v>
      </c>
      <c r="Q58" s="28">
        <v>0</v>
      </c>
      <c r="R58" s="29" t="s">
        <v>216</v>
      </c>
      <c r="S58" s="28" t="s">
        <v>98</v>
      </c>
      <c r="T58" s="28" t="s">
        <v>98</v>
      </c>
    </row>
    <row r="59" spans="1:20" ht="20.100000000000001" customHeight="1" x14ac:dyDescent="0.25">
      <c r="A59" s="28" t="s">
        <v>24</v>
      </c>
      <c r="B59" s="27" t="s">
        <v>225</v>
      </c>
      <c r="C59" s="28" t="s">
        <v>18</v>
      </c>
      <c r="D59" s="28" t="s">
        <v>173</v>
      </c>
      <c r="E59" s="28" t="s">
        <v>24</v>
      </c>
      <c r="F59" s="28" t="s">
        <v>70</v>
      </c>
      <c r="G59" s="28" t="s">
        <v>80</v>
      </c>
      <c r="H59" s="29" t="s">
        <v>74</v>
      </c>
      <c r="I59" s="28" t="s">
        <v>82</v>
      </c>
      <c r="J59" s="28" t="s">
        <v>190</v>
      </c>
      <c r="K59" s="30">
        <v>9208</v>
      </c>
      <c r="L59" s="27" t="s">
        <v>229</v>
      </c>
      <c r="M59" s="31">
        <v>45561</v>
      </c>
      <c r="N59" s="31">
        <v>45579</v>
      </c>
      <c r="O59" s="31" t="str">
        <f>TEXT(Table1[[#This Row],[ميعاد الطلب]],"mmm")</f>
        <v>Sep</v>
      </c>
      <c r="P59" s="28" t="s">
        <v>98</v>
      </c>
      <c r="Q59" s="28">
        <v>0</v>
      </c>
      <c r="R59" s="29" t="s">
        <v>216</v>
      </c>
      <c r="S59" s="28" t="s">
        <v>98</v>
      </c>
      <c r="T59" s="28" t="s">
        <v>98</v>
      </c>
    </row>
    <row r="60" spans="1:20" ht="20.100000000000001" customHeight="1" x14ac:dyDescent="0.25">
      <c r="A60" s="28" t="s">
        <v>35</v>
      </c>
      <c r="B60" s="27" t="s">
        <v>225</v>
      </c>
      <c r="C60" s="28" t="s">
        <v>176</v>
      </c>
      <c r="D60" s="28" t="s">
        <v>169</v>
      </c>
      <c r="E60" s="28" t="s">
        <v>26</v>
      </c>
      <c r="F60" s="28" t="s">
        <v>70</v>
      </c>
      <c r="G60" s="28" t="s">
        <v>73</v>
      </c>
      <c r="H60" s="28" t="s">
        <v>89</v>
      </c>
      <c r="I60" s="27" t="s">
        <v>81</v>
      </c>
      <c r="J60" s="27" t="s">
        <v>190</v>
      </c>
      <c r="K60" s="30">
        <v>4020</v>
      </c>
      <c r="L60" s="27" t="s">
        <v>36</v>
      </c>
      <c r="M60" s="31">
        <v>45564</v>
      </c>
      <c r="N60" s="31">
        <v>45577</v>
      </c>
      <c r="O60" s="31" t="str">
        <f>TEXT(Table1[[#This Row],[ميعاد الطلب]],"mmm")</f>
        <v>Sep</v>
      </c>
      <c r="P60" s="31">
        <v>45577</v>
      </c>
      <c r="Q60" s="32">
        <f>Table1[[#This Row],[تاريخ التسليم]]-Table1[[#This Row],[ميعاد التسليم]]</f>
        <v>0</v>
      </c>
      <c r="R60" s="29" t="str">
        <f>IF(Table1[[#This Row],[مده التوصيل]]&lt;=0, "yes", "no")</f>
        <v>yes</v>
      </c>
      <c r="S60" s="28" t="s">
        <v>192</v>
      </c>
      <c r="T60" s="28" t="s">
        <v>100</v>
      </c>
    </row>
    <row r="61" spans="1:20" ht="20.100000000000001" customHeight="1" x14ac:dyDescent="0.25">
      <c r="A61" s="28" t="s">
        <v>106</v>
      </c>
      <c r="B61" s="27" t="s">
        <v>221</v>
      </c>
      <c r="C61" s="28" t="s">
        <v>107</v>
      </c>
      <c r="D61" s="28" t="s">
        <v>107</v>
      </c>
      <c r="E61" s="28" t="s">
        <v>107</v>
      </c>
      <c r="F61" s="28" t="s">
        <v>70</v>
      </c>
      <c r="G61" s="28" t="s">
        <v>80</v>
      </c>
      <c r="H61" s="28" t="s">
        <v>108</v>
      </c>
      <c r="I61" s="27" t="s">
        <v>123</v>
      </c>
      <c r="J61" s="27" t="s">
        <v>190</v>
      </c>
      <c r="K61" s="30">
        <v>8544</v>
      </c>
      <c r="L61" s="27" t="s">
        <v>229</v>
      </c>
      <c r="M61" s="31">
        <v>45566</v>
      </c>
      <c r="N61" s="31">
        <v>45574</v>
      </c>
      <c r="O61" s="31" t="str">
        <f>TEXT(Table1[[#This Row],[ميعاد الطلب]],"mmm")</f>
        <v>Oct</v>
      </c>
      <c r="P61" s="31">
        <v>45574</v>
      </c>
      <c r="Q61" s="32">
        <f>Table1[[#This Row],[تاريخ التسليم]]-Table1[[#This Row],[ميعاد التسليم]]</f>
        <v>0</v>
      </c>
      <c r="R61" s="29" t="str">
        <f>IF(Table1[[#This Row],[مده التوصيل]]&lt;=0, "yes", "no")</f>
        <v>yes</v>
      </c>
      <c r="S61" s="28" t="s">
        <v>193</v>
      </c>
      <c r="T61" s="28" t="s">
        <v>100</v>
      </c>
    </row>
    <row r="62" spans="1:20" ht="20.100000000000001" customHeight="1" x14ac:dyDescent="0.25">
      <c r="A62" s="28" t="s">
        <v>106</v>
      </c>
      <c r="B62" s="27" t="s">
        <v>221</v>
      </c>
      <c r="C62" s="28" t="s">
        <v>107</v>
      </c>
      <c r="D62" s="28" t="s">
        <v>107</v>
      </c>
      <c r="E62" s="28" t="s">
        <v>107</v>
      </c>
      <c r="F62" s="28" t="s">
        <v>70</v>
      </c>
      <c r="G62" s="28" t="s">
        <v>71</v>
      </c>
      <c r="H62" s="28" t="s">
        <v>74</v>
      </c>
      <c r="I62" s="27" t="s">
        <v>82</v>
      </c>
      <c r="J62" s="27" t="s">
        <v>111</v>
      </c>
      <c r="K62" s="30">
        <v>4600</v>
      </c>
      <c r="L62" s="27" t="s">
        <v>229</v>
      </c>
      <c r="M62" s="31">
        <v>45566</v>
      </c>
      <c r="N62" s="31">
        <v>45574</v>
      </c>
      <c r="O62" s="31" t="str">
        <f>TEXT(Table1[[#This Row],[ميعاد الطلب]],"mmm")</f>
        <v>Oct</v>
      </c>
      <c r="P62" s="31">
        <v>45574</v>
      </c>
      <c r="Q62" s="32">
        <f>Table1[[#This Row],[تاريخ التسليم]]-Table1[[#This Row],[ميعاد التسليم]]</f>
        <v>0</v>
      </c>
      <c r="R62" s="29" t="str">
        <f>IF(Table1[[#This Row],[مده التوصيل]]&lt;=0, "yes", "no")</f>
        <v>yes</v>
      </c>
      <c r="S62" s="28" t="s">
        <v>193</v>
      </c>
      <c r="T62" s="28" t="s">
        <v>100</v>
      </c>
    </row>
    <row r="63" spans="1:20" ht="20.100000000000001" customHeight="1" x14ac:dyDescent="0.25">
      <c r="A63" s="28" t="s">
        <v>106</v>
      </c>
      <c r="B63" s="27" t="s">
        <v>221</v>
      </c>
      <c r="C63" s="28" t="s">
        <v>107</v>
      </c>
      <c r="D63" s="28" t="s">
        <v>107</v>
      </c>
      <c r="E63" s="28" t="s">
        <v>107</v>
      </c>
      <c r="F63" s="28" t="s">
        <v>104</v>
      </c>
      <c r="G63" s="28" t="s">
        <v>109</v>
      </c>
      <c r="H63" s="28" t="s">
        <v>16</v>
      </c>
      <c r="I63" s="27" t="s">
        <v>82</v>
      </c>
      <c r="J63" s="27" t="s">
        <v>110</v>
      </c>
      <c r="K63" s="30">
        <v>10000</v>
      </c>
      <c r="L63" s="27" t="s">
        <v>229</v>
      </c>
      <c r="M63" s="31">
        <v>45566</v>
      </c>
      <c r="N63" s="31">
        <v>45574</v>
      </c>
      <c r="O63" s="31" t="str">
        <f>TEXT(Table1[[#This Row],[ميعاد الطلب]],"mmm")</f>
        <v>Oct</v>
      </c>
      <c r="P63" s="31">
        <v>45574</v>
      </c>
      <c r="Q63" s="32">
        <f>Table1[[#This Row],[تاريخ التسليم]]-Table1[[#This Row],[ميعاد التسليم]]</f>
        <v>0</v>
      </c>
      <c r="R63" s="29" t="str">
        <f>IF(Table1[[#This Row],[مده التوصيل]]&lt;=0, "yes", "no")</f>
        <v>yes</v>
      </c>
      <c r="S63" s="28" t="s">
        <v>193</v>
      </c>
      <c r="T63" s="28" t="s">
        <v>100</v>
      </c>
    </row>
    <row r="64" spans="1:20" ht="20.100000000000001" customHeight="1" x14ac:dyDescent="0.25">
      <c r="A64" s="28" t="s">
        <v>106</v>
      </c>
      <c r="B64" s="27" t="s">
        <v>221</v>
      </c>
      <c r="C64" s="28" t="s">
        <v>107</v>
      </c>
      <c r="D64" s="28" t="s">
        <v>107</v>
      </c>
      <c r="E64" s="28" t="s">
        <v>107</v>
      </c>
      <c r="F64" s="28" t="s">
        <v>104</v>
      </c>
      <c r="G64" s="28" t="s">
        <v>112</v>
      </c>
      <c r="H64" s="28" t="s">
        <v>16</v>
      </c>
      <c r="I64" s="27" t="s">
        <v>82</v>
      </c>
      <c r="J64" s="27" t="s">
        <v>113</v>
      </c>
      <c r="K64" s="30">
        <v>13918</v>
      </c>
      <c r="L64" s="27" t="s">
        <v>229</v>
      </c>
      <c r="M64" s="31">
        <v>45566</v>
      </c>
      <c r="N64" s="31">
        <v>45574</v>
      </c>
      <c r="O64" s="31" t="str">
        <f>TEXT(Table1[[#This Row],[ميعاد الطلب]],"mmm")</f>
        <v>Oct</v>
      </c>
      <c r="P64" s="31">
        <v>45574</v>
      </c>
      <c r="Q64" s="32">
        <f>Table1[[#This Row],[تاريخ التسليم]]-Table1[[#This Row],[ميعاد التسليم]]</f>
        <v>0</v>
      </c>
      <c r="R64" s="29" t="str">
        <f>IF(Table1[[#This Row],[مده التوصيل]]&lt;=0, "yes", "no")</f>
        <v>yes</v>
      </c>
      <c r="S64" s="28" t="s">
        <v>193</v>
      </c>
      <c r="T64" s="28" t="s">
        <v>100</v>
      </c>
    </row>
    <row r="65" spans="1:20" ht="20.100000000000001" customHeight="1" x14ac:dyDescent="0.25">
      <c r="A65" s="28" t="s">
        <v>114</v>
      </c>
      <c r="B65" s="27" t="s">
        <v>221</v>
      </c>
      <c r="C65" s="28" t="s">
        <v>115</v>
      </c>
      <c r="D65" s="28" t="s">
        <v>173</v>
      </c>
      <c r="E65" s="28" t="s">
        <v>4</v>
      </c>
      <c r="F65" s="28" t="s">
        <v>70</v>
      </c>
      <c r="G65" s="28" t="s">
        <v>71</v>
      </c>
      <c r="H65" s="28" t="s">
        <v>4</v>
      </c>
      <c r="I65" s="28" t="s">
        <v>82</v>
      </c>
      <c r="J65" s="28" t="s">
        <v>82</v>
      </c>
      <c r="K65" s="30">
        <v>8899</v>
      </c>
      <c r="L65" s="27" t="s">
        <v>229</v>
      </c>
      <c r="M65" s="31">
        <v>45568</v>
      </c>
      <c r="N65" s="31">
        <v>45613</v>
      </c>
      <c r="O65" s="31" t="str">
        <f>TEXT(Table1[[#This Row],[ميعاد الطلب]],"mmm")</f>
        <v>Oct</v>
      </c>
      <c r="P65" s="28" t="s">
        <v>98</v>
      </c>
      <c r="Q65" s="28">
        <v>0</v>
      </c>
      <c r="R65" s="29" t="s">
        <v>216</v>
      </c>
      <c r="S65" s="28" t="s">
        <v>98</v>
      </c>
      <c r="T65" s="28" t="s">
        <v>98</v>
      </c>
    </row>
    <row r="66" spans="1:20" ht="20.100000000000001" customHeight="1" x14ac:dyDescent="0.25">
      <c r="A66" s="28" t="s">
        <v>35</v>
      </c>
      <c r="B66" s="27" t="s">
        <v>225</v>
      </c>
      <c r="C66" s="28" t="s">
        <v>175</v>
      </c>
      <c r="D66" s="28" t="s">
        <v>173</v>
      </c>
      <c r="E66" s="28" t="s">
        <v>26</v>
      </c>
      <c r="F66" s="28" t="s">
        <v>70</v>
      </c>
      <c r="G66" s="28" t="s">
        <v>80</v>
      </c>
      <c r="H66" s="28" t="s">
        <v>108</v>
      </c>
      <c r="I66" s="28" t="s">
        <v>123</v>
      </c>
      <c r="J66" s="28" t="s">
        <v>190</v>
      </c>
      <c r="K66" s="30">
        <v>8544.91</v>
      </c>
      <c r="L66" s="27" t="s">
        <v>36</v>
      </c>
      <c r="M66" s="31">
        <v>45587</v>
      </c>
      <c r="N66" s="28" t="s">
        <v>124</v>
      </c>
      <c r="O66" s="31" t="str">
        <f>TEXT(Table1[[#This Row],[ميعاد الطلب]],"mmm")</f>
        <v>Oct</v>
      </c>
      <c r="P66" s="28" t="s">
        <v>98</v>
      </c>
      <c r="Q66" s="28">
        <v>0</v>
      </c>
      <c r="R66" s="29" t="s">
        <v>216</v>
      </c>
      <c r="S66" s="28" t="s">
        <v>98</v>
      </c>
      <c r="T66" s="28" t="s">
        <v>98</v>
      </c>
    </row>
    <row r="67" spans="1:20" ht="20.100000000000001" customHeight="1" x14ac:dyDescent="0.25">
      <c r="A67" s="28" t="s">
        <v>24</v>
      </c>
      <c r="B67" s="27" t="s">
        <v>225</v>
      </c>
      <c r="C67" s="28" t="s">
        <v>18</v>
      </c>
      <c r="D67" s="28" t="s">
        <v>173</v>
      </c>
      <c r="E67" s="28" t="s">
        <v>24</v>
      </c>
      <c r="F67" s="28" t="s">
        <v>70</v>
      </c>
      <c r="G67" s="28" t="s">
        <v>80</v>
      </c>
      <c r="H67" s="29" t="s">
        <v>74</v>
      </c>
      <c r="I67" s="28" t="s">
        <v>82</v>
      </c>
      <c r="J67" s="28" t="s">
        <v>190</v>
      </c>
      <c r="K67" s="30">
        <v>10045</v>
      </c>
      <c r="L67" s="27" t="s">
        <v>229</v>
      </c>
      <c r="M67" s="31">
        <v>45591</v>
      </c>
      <c r="N67" s="31">
        <v>45612</v>
      </c>
      <c r="O67" s="31" t="str">
        <f>TEXT(Table1[[#This Row],[ميعاد الطلب]],"mmm")</f>
        <v>Oct</v>
      </c>
      <c r="P67" s="28" t="s">
        <v>98</v>
      </c>
      <c r="Q67" s="28">
        <v>0</v>
      </c>
      <c r="R67" s="29" t="s">
        <v>216</v>
      </c>
      <c r="S67" s="28" t="s">
        <v>98</v>
      </c>
      <c r="T67" s="28" t="s">
        <v>98</v>
      </c>
    </row>
    <row r="68" spans="1:20" ht="20.100000000000001" customHeight="1" x14ac:dyDescent="0.25">
      <c r="A68" s="28" t="s">
        <v>21</v>
      </c>
      <c r="B68" s="27" t="s">
        <v>225</v>
      </c>
      <c r="C68" s="28" t="s">
        <v>20</v>
      </c>
      <c r="D68" s="28" t="s">
        <v>173</v>
      </c>
      <c r="E68" s="28" t="s">
        <v>21</v>
      </c>
      <c r="F68" s="28" t="s">
        <v>70</v>
      </c>
      <c r="G68" s="28" t="s">
        <v>136</v>
      </c>
      <c r="H68" s="28" t="s">
        <v>137</v>
      </c>
      <c r="I68" s="28" t="s">
        <v>82</v>
      </c>
      <c r="J68" s="28" t="s">
        <v>190</v>
      </c>
      <c r="K68" s="30">
        <v>5100</v>
      </c>
      <c r="L68" s="27" t="s">
        <v>36</v>
      </c>
      <c r="M68" s="31">
        <v>45610</v>
      </c>
      <c r="N68" s="31">
        <v>45634</v>
      </c>
      <c r="O68" s="31" t="str">
        <f>TEXT(Table1[[#This Row],[ميعاد الطلب]],"mmm")</f>
        <v>Nov</v>
      </c>
      <c r="P68" s="28" t="s">
        <v>98</v>
      </c>
      <c r="Q68" s="28">
        <v>0</v>
      </c>
      <c r="R68" s="29" t="s">
        <v>216</v>
      </c>
      <c r="S68" s="28" t="s">
        <v>98</v>
      </c>
      <c r="T68" s="28" t="s">
        <v>98</v>
      </c>
    </row>
    <row r="69" spans="1:20" ht="20.100000000000001" customHeight="1" x14ac:dyDescent="0.25">
      <c r="A69" s="28" t="s">
        <v>146</v>
      </c>
      <c r="B69" s="27" t="s">
        <v>221</v>
      </c>
      <c r="C69" s="28" t="s">
        <v>186</v>
      </c>
      <c r="D69" s="28" t="s">
        <v>171</v>
      </c>
      <c r="E69" s="28" t="s">
        <v>4</v>
      </c>
      <c r="F69" s="28" t="s">
        <v>70</v>
      </c>
      <c r="G69" s="28" t="s">
        <v>80</v>
      </c>
      <c r="H69" s="29" t="s">
        <v>74</v>
      </c>
      <c r="I69" s="28" t="s">
        <v>82</v>
      </c>
      <c r="J69" s="28" t="s">
        <v>190</v>
      </c>
      <c r="K69" s="30">
        <v>14905</v>
      </c>
      <c r="L69" s="27" t="s">
        <v>10</v>
      </c>
      <c r="M69" s="31">
        <v>45625</v>
      </c>
      <c r="N69" s="31">
        <v>45641</v>
      </c>
      <c r="O69" s="31" t="str">
        <f>TEXT(Table1[[#This Row],[ميعاد الطلب]],"mmm")</f>
        <v>Nov</v>
      </c>
      <c r="P69" s="28" t="s">
        <v>98</v>
      </c>
      <c r="Q69" s="28">
        <v>0</v>
      </c>
      <c r="R69" s="29" t="s">
        <v>216</v>
      </c>
      <c r="S69" s="28" t="s">
        <v>98</v>
      </c>
      <c r="T69" s="28" t="s">
        <v>98</v>
      </c>
    </row>
    <row r="70" spans="1:20" ht="20.100000000000001" customHeight="1" x14ac:dyDescent="0.25">
      <c r="A70" s="28" t="s">
        <v>148</v>
      </c>
      <c r="B70" s="27" t="s">
        <v>221</v>
      </c>
      <c r="C70" s="28" t="s">
        <v>23</v>
      </c>
      <c r="D70" s="28" t="s">
        <v>173</v>
      </c>
      <c r="E70" s="28" t="s">
        <v>4</v>
      </c>
      <c r="F70" s="28" t="s">
        <v>142</v>
      </c>
      <c r="G70" s="28" t="s">
        <v>144</v>
      </c>
      <c r="H70" s="28" t="s">
        <v>4</v>
      </c>
      <c r="I70" s="28" t="s">
        <v>82</v>
      </c>
      <c r="J70" s="28" t="s">
        <v>147</v>
      </c>
      <c r="K70" s="30">
        <v>10249</v>
      </c>
      <c r="L70" s="27" t="s">
        <v>10</v>
      </c>
      <c r="M70" s="31">
        <v>45626</v>
      </c>
      <c r="N70" s="31">
        <v>45638</v>
      </c>
      <c r="O70" s="31" t="str">
        <f>TEXT(Table1[[#This Row],[ميعاد الطلب]],"mmm")</f>
        <v>Nov</v>
      </c>
      <c r="P70" s="28" t="s">
        <v>98</v>
      </c>
      <c r="Q70" s="28">
        <v>0</v>
      </c>
      <c r="R70" s="29" t="s">
        <v>216</v>
      </c>
      <c r="S70" s="28" t="s">
        <v>98</v>
      </c>
      <c r="T70" s="28" t="s">
        <v>98</v>
      </c>
    </row>
    <row r="71" spans="1:20" ht="20.100000000000001" customHeight="1" x14ac:dyDescent="0.25">
      <c r="A71" s="28" t="s">
        <v>148</v>
      </c>
      <c r="B71" s="27" t="s">
        <v>221</v>
      </c>
      <c r="C71" s="28" t="s">
        <v>23</v>
      </c>
      <c r="D71" s="28" t="s">
        <v>173</v>
      </c>
      <c r="E71" s="28" t="s">
        <v>4</v>
      </c>
      <c r="F71" s="28" t="s">
        <v>142</v>
      </c>
      <c r="G71" s="28" t="s">
        <v>96</v>
      </c>
      <c r="H71" s="28" t="s">
        <v>4</v>
      </c>
      <c r="I71" s="28" t="s">
        <v>82</v>
      </c>
      <c r="J71" s="28" t="s">
        <v>149</v>
      </c>
      <c r="K71" s="30">
        <v>9029</v>
      </c>
      <c r="L71" s="27" t="s">
        <v>10</v>
      </c>
      <c r="M71" s="31">
        <v>45626</v>
      </c>
      <c r="N71" s="31">
        <v>45638</v>
      </c>
      <c r="O71" s="31" t="str">
        <f>TEXT(Table1[[#This Row],[ميعاد الطلب]],"mmm")</f>
        <v>Nov</v>
      </c>
      <c r="P71" s="28" t="s">
        <v>98</v>
      </c>
      <c r="Q71" s="28">
        <v>0</v>
      </c>
      <c r="R71" s="29" t="s">
        <v>216</v>
      </c>
      <c r="S71" s="28" t="s">
        <v>98</v>
      </c>
      <c r="T71" s="28" t="s">
        <v>98</v>
      </c>
    </row>
    <row r="72" spans="1:20" ht="20.100000000000001" customHeight="1" x14ac:dyDescent="0.25">
      <c r="A72" s="28" t="s">
        <v>150</v>
      </c>
      <c r="B72" s="27" t="s">
        <v>221</v>
      </c>
      <c r="C72" s="28" t="s">
        <v>68</v>
      </c>
      <c r="D72" s="28" t="s">
        <v>107</v>
      </c>
      <c r="E72" s="28" t="s">
        <v>4</v>
      </c>
      <c r="F72" s="28" t="s">
        <v>142</v>
      </c>
      <c r="G72" s="28" t="s">
        <v>94</v>
      </c>
      <c r="H72" s="28" t="s">
        <v>4</v>
      </c>
      <c r="I72" s="28" t="s">
        <v>82</v>
      </c>
      <c r="J72" s="28" t="s">
        <v>151</v>
      </c>
      <c r="K72" s="30">
        <v>9029</v>
      </c>
      <c r="L72" s="27" t="s">
        <v>10</v>
      </c>
      <c r="M72" s="31">
        <v>45626</v>
      </c>
      <c r="N72" s="31">
        <v>45638</v>
      </c>
      <c r="O72" s="31" t="str">
        <f>TEXT(Table1[[#This Row],[ميعاد الطلب]],"mmm")</f>
        <v>Nov</v>
      </c>
      <c r="P72" s="28" t="s">
        <v>98</v>
      </c>
      <c r="Q72" s="28">
        <v>0</v>
      </c>
      <c r="R72" s="29" t="s">
        <v>216</v>
      </c>
      <c r="S72" s="28" t="s">
        <v>98</v>
      </c>
      <c r="T72" s="28" t="s">
        <v>98</v>
      </c>
    </row>
    <row r="73" spans="1:20" ht="20.100000000000001" customHeight="1" x14ac:dyDescent="0.25">
      <c r="A73" s="28" t="s">
        <v>152</v>
      </c>
      <c r="B73" s="27" t="s">
        <v>221</v>
      </c>
      <c r="C73" s="28" t="s">
        <v>153</v>
      </c>
      <c r="D73" s="28" t="s">
        <v>173</v>
      </c>
      <c r="E73" s="28" t="s">
        <v>4</v>
      </c>
      <c r="F73" s="28" t="s">
        <v>70</v>
      </c>
      <c r="G73" s="28" t="s">
        <v>134</v>
      </c>
      <c r="H73" s="28" t="s">
        <v>72</v>
      </c>
      <c r="I73" s="28" t="s">
        <v>81</v>
      </c>
      <c r="J73" s="28" t="s">
        <v>190</v>
      </c>
      <c r="K73" s="30">
        <v>12099</v>
      </c>
      <c r="L73" s="27" t="s">
        <v>10</v>
      </c>
      <c r="M73" s="31">
        <v>45628</v>
      </c>
      <c r="N73" s="31">
        <v>45643</v>
      </c>
      <c r="O73" s="31" t="str">
        <f>TEXT(Table1[[#This Row],[ميعاد الطلب]],"mmm")</f>
        <v>Dec</v>
      </c>
      <c r="P73" s="28" t="s">
        <v>98</v>
      </c>
      <c r="Q73" s="28">
        <v>0</v>
      </c>
      <c r="R73" s="29" t="s">
        <v>216</v>
      </c>
      <c r="S73" s="28" t="s">
        <v>98</v>
      </c>
      <c r="T73" s="28" t="s">
        <v>98</v>
      </c>
    </row>
    <row r="74" spans="1:20" ht="20.100000000000001" customHeight="1" x14ac:dyDescent="0.25">
      <c r="A74" s="28" t="s">
        <v>35</v>
      </c>
      <c r="B74" s="27" t="s">
        <v>225</v>
      </c>
      <c r="C74" s="28" t="s">
        <v>176</v>
      </c>
      <c r="D74" s="28" t="s">
        <v>169</v>
      </c>
      <c r="E74" s="28" t="s">
        <v>26</v>
      </c>
      <c r="F74" s="28" t="s">
        <v>70</v>
      </c>
      <c r="G74" s="28" t="s">
        <v>73</v>
      </c>
      <c r="H74" s="28" t="s">
        <v>89</v>
      </c>
      <c r="I74" s="27" t="s">
        <v>81</v>
      </c>
      <c r="J74" s="27" t="s">
        <v>190</v>
      </c>
      <c r="K74" s="30">
        <v>4020</v>
      </c>
      <c r="L74" s="27" t="s">
        <v>36</v>
      </c>
      <c r="M74" s="31">
        <v>45547</v>
      </c>
      <c r="N74" s="31">
        <v>45556</v>
      </c>
      <c r="O74" s="31" t="str">
        <f>TEXT(Table1[[#This Row],[ميعاد الطلب]],"mmm")</f>
        <v>Sep</v>
      </c>
      <c r="P74" s="31">
        <v>45557</v>
      </c>
      <c r="Q74" s="32">
        <f>Table1[[#This Row],[تاريخ التسليم]]-Table1[[#This Row],[ميعاد التسليم]]</f>
        <v>1</v>
      </c>
      <c r="R74" s="29" t="str">
        <f>IF(Table1[[#This Row],[مده التوصيل]]&lt;=0, "yes", "no")</f>
        <v>no</v>
      </c>
      <c r="S74" s="28" t="s">
        <v>192</v>
      </c>
      <c r="T74" s="28" t="s">
        <v>100</v>
      </c>
    </row>
    <row r="75" spans="1:20" ht="20.100000000000001" customHeight="1" x14ac:dyDescent="0.25">
      <c r="A75" s="28" t="s">
        <v>35</v>
      </c>
      <c r="B75" s="27" t="s">
        <v>225</v>
      </c>
      <c r="C75" s="28" t="s">
        <v>176</v>
      </c>
      <c r="D75" s="28" t="s">
        <v>169</v>
      </c>
      <c r="E75" s="28" t="s">
        <v>26</v>
      </c>
      <c r="F75" s="28" t="s">
        <v>70</v>
      </c>
      <c r="G75" s="28" t="s">
        <v>73</v>
      </c>
      <c r="H75" s="28" t="s">
        <v>89</v>
      </c>
      <c r="I75" s="27" t="s">
        <v>81</v>
      </c>
      <c r="J75" s="27" t="s">
        <v>190</v>
      </c>
      <c r="K75" s="30">
        <v>4020</v>
      </c>
      <c r="L75" s="27" t="s">
        <v>36</v>
      </c>
      <c r="M75" s="31">
        <v>45547</v>
      </c>
      <c r="N75" s="31">
        <v>45556</v>
      </c>
      <c r="O75" s="31" t="str">
        <f>TEXT(Table1[[#This Row],[ميعاد الطلب]],"mmm")</f>
        <v>Sep</v>
      </c>
      <c r="P75" s="31">
        <v>45557</v>
      </c>
      <c r="Q75" s="32">
        <f>Table1[[#This Row],[تاريخ التسليم]]-Table1[[#This Row],[ميعاد التسليم]]</f>
        <v>1</v>
      </c>
      <c r="R75" s="29" t="str">
        <f>IF(Table1[[#This Row],[مده التوصيل]]&lt;=0, "yes", "no")</f>
        <v>no</v>
      </c>
      <c r="S75" s="28" t="s">
        <v>192</v>
      </c>
      <c r="T75" s="28" t="s">
        <v>100</v>
      </c>
    </row>
    <row r="76" spans="1:20" ht="20.100000000000001" customHeight="1" x14ac:dyDescent="0.25">
      <c r="A76" s="28" t="s">
        <v>35</v>
      </c>
      <c r="B76" s="27" t="s">
        <v>225</v>
      </c>
      <c r="C76" s="28" t="s">
        <v>176</v>
      </c>
      <c r="D76" s="28" t="s">
        <v>169</v>
      </c>
      <c r="E76" s="28" t="s">
        <v>26</v>
      </c>
      <c r="F76" s="28" t="s">
        <v>70</v>
      </c>
      <c r="G76" s="28" t="s">
        <v>73</v>
      </c>
      <c r="H76" s="28" t="s">
        <v>83</v>
      </c>
      <c r="I76" s="27" t="s">
        <v>82</v>
      </c>
      <c r="J76" s="27" t="s">
        <v>190</v>
      </c>
      <c r="K76" s="30">
        <v>4020</v>
      </c>
      <c r="L76" s="27" t="s">
        <v>229</v>
      </c>
      <c r="M76" s="31">
        <v>45547</v>
      </c>
      <c r="N76" s="31">
        <v>45556</v>
      </c>
      <c r="O76" s="31" t="str">
        <f>TEXT(Table1[[#This Row],[ميعاد الطلب]],"mmm")</f>
        <v>Sep</v>
      </c>
      <c r="P76" s="31">
        <v>45557</v>
      </c>
      <c r="Q76" s="32">
        <f>Table1[[#This Row],[تاريخ التسليم]]-Table1[[#This Row],[ميعاد التسليم]]</f>
        <v>1</v>
      </c>
      <c r="R76" s="29" t="str">
        <f>IF(Table1[[#This Row],[مده التوصيل]]&lt;=0, "yes", "no")</f>
        <v>no</v>
      </c>
      <c r="S76" s="28" t="s">
        <v>192</v>
      </c>
      <c r="T76" s="28" t="s">
        <v>100</v>
      </c>
    </row>
    <row r="77" spans="1:20" ht="20.100000000000001" customHeight="1" x14ac:dyDescent="0.25">
      <c r="A77" s="28" t="s">
        <v>35</v>
      </c>
      <c r="B77" s="27" t="s">
        <v>225</v>
      </c>
      <c r="C77" s="28" t="s">
        <v>176</v>
      </c>
      <c r="D77" s="28" t="s">
        <v>169</v>
      </c>
      <c r="E77" s="28" t="s">
        <v>26</v>
      </c>
      <c r="F77" s="28" t="s">
        <v>70</v>
      </c>
      <c r="G77" s="28" t="s">
        <v>73</v>
      </c>
      <c r="H77" s="28" t="s">
        <v>83</v>
      </c>
      <c r="I77" s="27" t="s">
        <v>82</v>
      </c>
      <c r="J77" s="27" t="s">
        <v>190</v>
      </c>
      <c r="K77" s="30">
        <v>4020</v>
      </c>
      <c r="L77" s="27" t="s">
        <v>229</v>
      </c>
      <c r="M77" s="31">
        <v>45547</v>
      </c>
      <c r="N77" s="31">
        <v>45556</v>
      </c>
      <c r="O77" s="31" t="str">
        <f>TEXT(Table1[[#This Row],[ميعاد الطلب]],"mmm")</f>
        <v>Sep</v>
      </c>
      <c r="P77" s="31">
        <v>45557</v>
      </c>
      <c r="Q77" s="32">
        <f>Table1[[#This Row],[تاريخ التسليم]]-Table1[[#This Row],[ميعاد التسليم]]</f>
        <v>1</v>
      </c>
      <c r="R77" s="29" t="str">
        <f>IF(Table1[[#This Row],[مده التوصيل]]&lt;=0, "yes", "no")</f>
        <v>no</v>
      </c>
      <c r="S77" s="28" t="s">
        <v>192</v>
      </c>
      <c r="T77" s="28" t="s">
        <v>100</v>
      </c>
    </row>
    <row r="78" spans="1:20" ht="20.100000000000001" customHeight="1" x14ac:dyDescent="0.25">
      <c r="A78" s="28" t="s">
        <v>53</v>
      </c>
      <c r="B78" s="27" t="s">
        <v>221</v>
      </c>
      <c r="C78" s="28" t="s">
        <v>174</v>
      </c>
      <c r="D78" s="28" t="s">
        <v>173</v>
      </c>
      <c r="E78" s="28" t="s">
        <v>4</v>
      </c>
      <c r="F78" s="28" t="s">
        <v>142</v>
      </c>
      <c r="G78" s="28" t="s">
        <v>95</v>
      </c>
      <c r="H78" s="28" t="s">
        <v>4</v>
      </c>
      <c r="I78" s="27" t="s">
        <v>82</v>
      </c>
      <c r="J78" s="33" t="s">
        <v>190</v>
      </c>
      <c r="K78" s="30">
        <v>7849</v>
      </c>
      <c r="L78" s="27" t="s">
        <v>10</v>
      </c>
      <c r="M78" s="31">
        <v>45549</v>
      </c>
      <c r="N78" s="31">
        <v>45594</v>
      </c>
      <c r="O78" s="31" t="str">
        <f>TEXT(Table1[[#This Row],[ميعاد الطلب]],"mmm")</f>
        <v>Sep</v>
      </c>
      <c r="P78" s="31">
        <v>45595</v>
      </c>
      <c r="Q78" s="32">
        <f>Table1[[#This Row],[تاريخ التسليم]]-Table1[[#This Row],[ميعاد التسليم]]</f>
        <v>1</v>
      </c>
      <c r="R78" s="29" t="str">
        <f>IF(Table1[[#This Row],[مده التوصيل]]&lt;=0, "yes", "no")</f>
        <v>no</v>
      </c>
      <c r="S78" s="28" t="s">
        <v>192</v>
      </c>
      <c r="T78" s="28" t="s">
        <v>100</v>
      </c>
    </row>
    <row r="79" spans="1:20" ht="20.100000000000001" customHeight="1" x14ac:dyDescent="0.25">
      <c r="A79" s="28" t="s">
        <v>24</v>
      </c>
      <c r="B79" s="27" t="s">
        <v>225</v>
      </c>
      <c r="C79" s="28" t="s">
        <v>18</v>
      </c>
      <c r="D79" s="28" t="s">
        <v>173</v>
      </c>
      <c r="E79" s="28" t="s">
        <v>24</v>
      </c>
      <c r="F79" s="28" t="s">
        <v>70</v>
      </c>
      <c r="G79" s="28" t="s">
        <v>73</v>
      </c>
      <c r="H79" s="28" t="s">
        <v>75</v>
      </c>
      <c r="I79" s="27" t="s">
        <v>81</v>
      </c>
      <c r="J79" s="27" t="s">
        <v>190</v>
      </c>
      <c r="K79" s="30">
        <v>7433</v>
      </c>
      <c r="L79" s="27" t="s">
        <v>10</v>
      </c>
      <c r="M79" s="31">
        <v>45564</v>
      </c>
      <c r="N79" s="31">
        <v>45585</v>
      </c>
      <c r="O79" s="31" t="str">
        <f>TEXT(Table1[[#This Row],[ميعاد الطلب]],"mmm")</f>
        <v>Sep</v>
      </c>
      <c r="P79" s="31">
        <v>45586</v>
      </c>
      <c r="Q79" s="32">
        <f>Table1[[#This Row],[تاريخ التسليم]]-Table1[[#This Row],[ميعاد التسليم]]</f>
        <v>1</v>
      </c>
      <c r="R79" s="29" t="str">
        <f>IF(Table1[[#This Row],[مده التوصيل]]&lt;=0, "yes", "no")</f>
        <v>no</v>
      </c>
      <c r="S79" s="28" t="s">
        <v>192</v>
      </c>
      <c r="T79" s="28" t="s">
        <v>100</v>
      </c>
    </row>
    <row r="80" spans="1:20" ht="20.100000000000001" customHeight="1" x14ac:dyDescent="0.25">
      <c r="A80" s="28" t="s">
        <v>24</v>
      </c>
      <c r="B80" s="27" t="s">
        <v>225</v>
      </c>
      <c r="C80" s="28" t="s">
        <v>18</v>
      </c>
      <c r="D80" s="28" t="s">
        <v>173</v>
      </c>
      <c r="E80" s="28" t="s">
        <v>24</v>
      </c>
      <c r="F80" s="28" t="s">
        <v>104</v>
      </c>
      <c r="G80" s="28" t="s">
        <v>166</v>
      </c>
      <c r="H80" s="28" t="s">
        <v>16</v>
      </c>
      <c r="I80" s="27" t="s">
        <v>82</v>
      </c>
      <c r="J80" s="27" t="s">
        <v>116</v>
      </c>
      <c r="K80" s="30">
        <v>14550</v>
      </c>
      <c r="L80" s="27" t="s">
        <v>10</v>
      </c>
      <c r="M80" s="31">
        <v>45573</v>
      </c>
      <c r="N80" s="31">
        <v>45594</v>
      </c>
      <c r="O80" s="31" t="str">
        <f>TEXT(Table1[[#This Row],[ميعاد الطلب]],"mmm")</f>
        <v>Oct</v>
      </c>
      <c r="P80" s="31">
        <v>45595</v>
      </c>
      <c r="Q80" s="32">
        <f>Table1[[#This Row],[تاريخ التسليم]]-Table1[[#This Row],[ميعاد التسليم]]</f>
        <v>1</v>
      </c>
      <c r="R80" s="29" t="str">
        <f>IF(Table1[[#This Row],[مده التوصيل]]&lt;=0, "yes", "no")</f>
        <v>no</v>
      </c>
      <c r="S80" s="28" t="s">
        <v>192</v>
      </c>
      <c r="T80" s="28" t="s">
        <v>100</v>
      </c>
    </row>
    <row r="81" spans="1:20" ht="20.100000000000001" customHeight="1" x14ac:dyDescent="0.25">
      <c r="A81" s="28" t="s">
        <v>127</v>
      </c>
      <c r="B81" s="27" t="s">
        <v>221</v>
      </c>
      <c r="C81" s="28" t="s">
        <v>131</v>
      </c>
      <c r="D81" s="28" t="s">
        <v>173</v>
      </c>
      <c r="E81" s="28" t="s">
        <v>4</v>
      </c>
      <c r="F81" s="28" t="s">
        <v>70</v>
      </c>
      <c r="G81" s="28" t="s">
        <v>80</v>
      </c>
      <c r="H81" s="29" t="s">
        <v>74</v>
      </c>
      <c r="I81" s="27" t="s">
        <v>81</v>
      </c>
      <c r="J81" s="27" t="s">
        <v>190</v>
      </c>
      <c r="K81" s="30">
        <v>12099</v>
      </c>
      <c r="L81" s="27" t="s">
        <v>10</v>
      </c>
      <c r="M81" s="31">
        <v>45607</v>
      </c>
      <c r="N81" s="31">
        <v>45622</v>
      </c>
      <c r="O81" s="31" t="str">
        <f>TEXT(Table1[[#This Row],[ميعاد الطلب]],"mmm")</f>
        <v>Nov</v>
      </c>
      <c r="P81" s="31">
        <v>45623</v>
      </c>
      <c r="Q81" s="32">
        <f>Table1[[#This Row],[تاريخ التسليم]]-Table1[[#This Row],[ميعاد التسليم]]</f>
        <v>1</v>
      </c>
      <c r="R81" s="29" t="str">
        <f>IF(Table1[[#This Row],[مده التوصيل]]&lt;=0, "yes", "no")</f>
        <v>no</v>
      </c>
      <c r="S81" s="28" t="s">
        <v>192</v>
      </c>
      <c r="T81" s="28" t="s">
        <v>100</v>
      </c>
    </row>
    <row r="82" spans="1:20" ht="20.100000000000001" customHeight="1" x14ac:dyDescent="0.25">
      <c r="A82" s="28" t="s">
        <v>158</v>
      </c>
      <c r="B82" s="27" t="s">
        <v>221</v>
      </c>
      <c r="C82" s="28" t="s">
        <v>172</v>
      </c>
      <c r="D82" s="28" t="s">
        <v>169</v>
      </c>
      <c r="E82" s="28" t="s">
        <v>4</v>
      </c>
      <c r="F82" s="28" t="s">
        <v>70</v>
      </c>
      <c r="G82" s="28" t="s">
        <v>80</v>
      </c>
      <c r="H82" s="28" t="s">
        <v>72</v>
      </c>
      <c r="I82" s="27" t="s">
        <v>82</v>
      </c>
      <c r="J82" s="27" t="s">
        <v>190</v>
      </c>
      <c r="K82" s="30">
        <v>13099</v>
      </c>
      <c r="L82" s="27" t="s">
        <v>229</v>
      </c>
      <c r="M82" s="31">
        <v>45638</v>
      </c>
      <c r="N82" s="31">
        <v>45654</v>
      </c>
      <c r="O82" s="31" t="str">
        <f>TEXT(Table1[[#This Row],[ميعاد الطلب]],"mmm")</f>
        <v>Dec</v>
      </c>
      <c r="P82" s="31">
        <v>45655</v>
      </c>
      <c r="Q82" s="32">
        <f>Table1[[#This Row],[تاريخ التسليم]]-Table1[[#This Row],[ميعاد التسليم]]</f>
        <v>1</v>
      </c>
      <c r="R82" s="29" t="str">
        <f>IF(Table1[[#This Row],[مده التوصيل]]&lt;=0, "yes", "no")</f>
        <v>no</v>
      </c>
      <c r="S82" s="28" t="s">
        <v>192</v>
      </c>
      <c r="T82" s="28" t="s">
        <v>100</v>
      </c>
    </row>
    <row r="83" spans="1:20" ht="20.100000000000001" customHeight="1" x14ac:dyDescent="0.25">
      <c r="A83" s="28" t="s">
        <v>24</v>
      </c>
      <c r="B83" s="27" t="s">
        <v>225</v>
      </c>
      <c r="C83" s="28" t="s">
        <v>18</v>
      </c>
      <c r="D83" s="28" t="s">
        <v>173</v>
      </c>
      <c r="E83" s="28" t="s">
        <v>24</v>
      </c>
      <c r="F83" s="28" t="s">
        <v>104</v>
      </c>
      <c r="G83" s="28" t="s">
        <v>166</v>
      </c>
      <c r="H83" s="28" t="s">
        <v>16</v>
      </c>
      <c r="I83" s="27" t="s">
        <v>82</v>
      </c>
      <c r="J83" s="27" t="s">
        <v>86</v>
      </c>
      <c r="K83" s="30">
        <v>14550</v>
      </c>
      <c r="L83" s="27" t="s">
        <v>10</v>
      </c>
      <c r="M83" s="31">
        <v>45518</v>
      </c>
      <c r="N83" s="31">
        <v>45538</v>
      </c>
      <c r="O83" s="31" t="str">
        <f>TEXT(Table1[[#This Row],[ميعاد الطلب]],"mmm")</f>
        <v>Aug</v>
      </c>
      <c r="P83" s="31">
        <v>45540</v>
      </c>
      <c r="Q83" s="32">
        <f>Table1[[#This Row],[تاريخ التسليم]]-Table1[[#This Row],[ميعاد التسليم]]</f>
        <v>2</v>
      </c>
      <c r="R83" s="29" t="str">
        <f>IF(Table1[[#This Row],[مده التوصيل]]&lt;=0, "yes", "no")</f>
        <v>no</v>
      </c>
      <c r="S83" s="28" t="s">
        <v>191</v>
      </c>
      <c r="T83" s="28" t="s">
        <v>100</v>
      </c>
    </row>
    <row r="84" spans="1:20" ht="20.100000000000001" customHeight="1" x14ac:dyDescent="0.25">
      <c r="A84" s="28" t="s">
        <v>21</v>
      </c>
      <c r="B84" s="27" t="s">
        <v>225</v>
      </c>
      <c r="C84" s="28" t="s">
        <v>20</v>
      </c>
      <c r="D84" s="28" t="s">
        <v>173</v>
      </c>
      <c r="E84" s="28" t="s">
        <v>21</v>
      </c>
      <c r="F84" s="28" t="s">
        <v>104</v>
      </c>
      <c r="G84" s="28" t="s">
        <v>77</v>
      </c>
      <c r="H84" s="28" t="s">
        <v>21</v>
      </c>
      <c r="I84" s="27" t="s">
        <v>82</v>
      </c>
      <c r="J84" s="27" t="s">
        <v>190</v>
      </c>
      <c r="K84" s="30">
        <v>6000</v>
      </c>
      <c r="L84" s="27" t="s">
        <v>229</v>
      </c>
      <c r="M84" s="31">
        <v>45529</v>
      </c>
      <c r="N84" s="31">
        <v>45550</v>
      </c>
      <c r="O84" s="31" t="str">
        <f>TEXT(Table1[[#This Row],[ميعاد الطلب]],"mmm")</f>
        <v>Aug</v>
      </c>
      <c r="P84" s="31">
        <v>45552</v>
      </c>
      <c r="Q84" s="32">
        <f>Table1[[#This Row],[تاريخ التسليم]]-Table1[[#This Row],[ميعاد التسليم]]</f>
        <v>2</v>
      </c>
      <c r="R84" s="29" t="str">
        <f>IF(Table1[[#This Row],[مده التوصيل]]&lt;=0, "yes", "no")</f>
        <v>no</v>
      </c>
      <c r="S84" s="28" t="s">
        <v>192</v>
      </c>
      <c r="T84" s="28" t="s">
        <v>100</v>
      </c>
    </row>
    <row r="85" spans="1:20" ht="20.100000000000001" customHeight="1" x14ac:dyDescent="0.25">
      <c r="A85" s="28" t="s">
        <v>21</v>
      </c>
      <c r="B85" s="27" t="s">
        <v>225</v>
      </c>
      <c r="C85" s="28" t="s">
        <v>20</v>
      </c>
      <c r="D85" s="28" t="s">
        <v>173</v>
      </c>
      <c r="E85" s="28" t="s">
        <v>21</v>
      </c>
      <c r="F85" s="28" t="s">
        <v>104</v>
      </c>
      <c r="G85" s="28" t="s">
        <v>77</v>
      </c>
      <c r="H85" s="28" t="s">
        <v>21</v>
      </c>
      <c r="I85" s="27" t="s">
        <v>82</v>
      </c>
      <c r="J85" s="27" t="s">
        <v>190</v>
      </c>
      <c r="K85" s="30">
        <v>6000</v>
      </c>
      <c r="L85" s="27" t="s">
        <v>229</v>
      </c>
      <c r="M85" s="31">
        <v>45529</v>
      </c>
      <c r="N85" s="31">
        <v>45550</v>
      </c>
      <c r="O85" s="31" t="str">
        <f>TEXT(Table1[[#This Row],[ميعاد الطلب]],"mmm")</f>
        <v>Aug</v>
      </c>
      <c r="P85" s="31">
        <v>45552</v>
      </c>
      <c r="Q85" s="32">
        <f>Table1[[#This Row],[تاريخ التسليم]]-Table1[[#This Row],[ميعاد التسليم]]</f>
        <v>2</v>
      </c>
      <c r="R85" s="29" t="str">
        <f>IF(Table1[[#This Row],[مده التوصيل]]&lt;=0, "yes", "no")</f>
        <v>no</v>
      </c>
      <c r="S85" s="28" t="s">
        <v>192</v>
      </c>
      <c r="T85" s="28" t="s">
        <v>100</v>
      </c>
    </row>
    <row r="86" spans="1:20" ht="20.100000000000001" customHeight="1" x14ac:dyDescent="0.25">
      <c r="A86" s="28" t="s">
        <v>21</v>
      </c>
      <c r="B86" s="27" t="s">
        <v>225</v>
      </c>
      <c r="C86" s="28" t="s">
        <v>20</v>
      </c>
      <c r="D86" s="28" t="s">
        <v>173</v>
      </c>
      <c r="E86" s="28" t="s">
        <v>21</v>
      </c>
      <c r="F86" s="28" t="s">
        <v>79</v>
      </c>
      <c r="G86" s="28" t="s">
        <v>109</v>
      </c>
      <c r="H86" s="28" t="s">
        <v>21</v>
      </c>
      <c r="I86" s="27" t="s">
        <v>82</v>
      </c>
      <c r="J86" s="27" t="s">
        <v>190</v>
      </c>
      <c r="K86" s="30">
        <v>9300</v>
      </c>
      <c r="L86" s="27" t="s">
        <v>229</v>
      </c>
      <c r="M86" s="31">
        <v>45539</v>
      </c>
      <c r="N86" s="31">
        <v>45550</v>
      </c>
      <c r="O86" s="31" t="str">
        <f>TEXT(Table1[[#This Row],[ميعاد الطلب]],"mmm")</f>
        <v>Sep</v>
      </c>
      <c r="P86" s="31">
        <v>45552</v>
      </c>
      <c r="Q86" s="32">
        <f>Table1[[#This Row],[تاريخ التسليم]]-Table1[[#This Row],[ميعاد التسليم]]</f>
        <v>2</v>
      </c>
      <c r="R86" s="29" t="str">
        <f>IF(Table1[[#This Row],[مده التوصيل]]&lt;=0, "yes", "no")</f>
        <v>no</v>
      </c>
      <c r="S86" s="28" t="s">
        <v>192</v>
      </c>
      <c r="T86" s="28" t="s">
        <v>100</v>
      </c>
    </row>
    <row r="87" spans="1:20" ht="20.100000000000001" customHeight="1" x14ac:dyDescent="0.25">
      <c r="A87" s="28" t="s">
        <v>24</v>
      </c>
      <c r="B87" s="27" t="s">
        <v>225</v>
      </c>
      <c r="C87" s="28" t="s">
        <v>18</v>
      </c>
      <c r="D87" s="28" t="s">
        <v>173</v>
      </c>
      <c r="E87" s="28" t="s">
        <v>24</v>
      </c>
      <c r="F87" s="28" t="s">
        <v>70</v>
      </c>
      <c r="G87" s="28" t="s">
        <v>80</v>
      </c>
      <c r="H87" s="29" t="s">
        <v>74</v>
      </c>
      <c r="I87" s="27" t="s">
        <v>81</v>
      </c>
      <c r="J87" s="27" t="s">
        <v>190</v>
      </c>
      <c r="K87" s="30">
        <v>9208</v>
      </c>
      <c r="L87" s="27" t="s">
        <v>229</v>
      </c>
      <c r="M87" s="31">
        <v>45536</v>
      </c>
      <c r="N87" s="31">
        <v>45554</v>
      </c>
      <c r="O87" s="31" t="str">
        <f>TEXT(Table1[[#This Row],[ميعاد الطلب]],"mmm")</f>
        <v>Sep</v>
      </c>
      <c r="P87" s="31">
        <v>45556</v>
      </c>
      <c r="Q87" s="32">
        <f>Table1[[#This Row],[تاريخ التسليم]]-Table1[[#This Row],[ميعاد التسليم]]</f>
        <v>2</v>
      </c>
      <c r="R87" s="29" t="str">
        <f>IF(Table1[[#This Row],[مده التوصيل]]&lt;=0, "yes", "no")</f>
        <v>no</v>
      </c>
      <c r="S87" s="28" t="s">
        <v>192</v>
      </c>
      <c r="T87" s="28" t="s">
        <v>100</v>
      </c>
    </row>
    <row r="88" spans="1:20" ht="20.100000000000001" customHeight="1" x14ac:dyDescent="0.25">
      <c r="A88" s="28" t="s">
        <v>24</v>
      </c>
      <c r="B88" s="27" t="s">
        <v>225</v>
      </c>
      <c r="C88" s="28" t="s">
        <v>18</v>
      </c>
      <c r="D88" s="28" t="s">
        <v>173</v>
      </c>
      <c r="E88" s="28" t="s">
        <v>24</v>
      </c>
      <c r="F88" s="28" t="s">
        <v>70</v>
      </c>
      <c r="G88" s="28" t="s">
        <v>80</v>
      </c>
      <c r="H88" s="29" t="s">
        <v>74</v>
      </c>
      <c r="I88" s="27" t="s">
        <v>82</v>
      </c>
      <c r="J88" s="27" t="s">
        <v>190</v>
      </c>
      <c r="K88" s="30">
        <v>9208</v>
      </c>
      <c r="L88" s="27" t="s">
        <v>229</v>
      </c>
      <c r="M88" s="31">
        <v>45536</v>
      </c>
      <c r="N88" s="31">
        <v>45554</v>
      </c>
      <c r="O88" s="31" t="str">
        <f>TEXT(Table1[[#This Row],[ميعاد الطلب]],"mmm")</f>
        <v>Sep</v>
      </c>
      <c r="P88" s="31">
        <v>45556</v>
      </c>
      <c r="Q88" s="32">
        <f>Table1[[#This Row],[تاريخ التسليم]]-Table1[[#This Row],[ميعاد التسليم]]</f>
        <v>2</v>
      </c>
      <c r="R88" s="29" t="str">
        <f>IF(Table1[[#This Row],[مده التوصيل]]&lt;=0, "yes", "no")</f>
        <v>no</v>
      </c>
      <c r="S88" s="28" t="s">
        <v>192</v>
      </c>
      <c r="T88" s="28" t="s">
        <v>100</v>
      </c>
    </row>
    <row r="89" spans="1:20" ht="20.100000000000001" customHeight="1" x14ac:dyDescent="0.25">
      <c r="A89" s="28" t="s">
        <v>69</v>
      </c>
      <c r="B89" s="27" t="s">
        <v>221</v>
      </c>
      <c r="C89" s="28" t="s">
        <v>177</v>
      </c>
      <c r="D89" s="28" t="s">
        <v>171</v>
      </c>
      <c r="E89" s="28" t="s">
        <v>4</v>
      </c>
      <c r="F89" s="28" t="s">
        <v>142</v>
      </c>
      <c r="G89" s="28" t="s">
        <v>96</v>
      </c>
      <c r="H89" s="28" t="s">
        <v>4</v>
      </c>
      <c r="I89" s="27" t="s">
        <v>82</v>
      </c>
      <c r="J89" s="27" t="s">
        <v>190</v>
      </c>
      <c r="K89" s="30">
        <v>8349</v>
      </c>
      <c r="L89" s="27" t="s">
        <v>229</v>
      </c>
      <c r="M89" s="31">
        <v>45549</v>
      </c>
      <c r="N89" s="31">
        <v>45557</v>
      </c>
      <c r="O89" s="31" t="str">
        <f>TEXT(Table1[[#This Row],[ميعاد الطلب]],"mmm")</f>
        <v>Sep</v>
      </c>
      <c r="P89" s="31">
        <v>45559</v>
      </c>
      <c r="Q89" s="32">
        <f>Table1[[#This Row],[تاريخ التسليم]]-Table1[[#This Row],[ميعاد التسليم]]</f>
        <v>2</v>
      </c>
      <c r="R89" s="29" t="str">
        <f>IF(Table1[[#This Row],[مده التوصيل]]&lt;=0, "yes", "no")</f>
        <v>no</v>
      </c>
      <c r="S89" s="28" t="s">
        <v>191</v>
      </c>
      <c r="T89" s="28" t="s">
        <v>100</v>
      </c>
    </row>
    <row r="90" spans="1:20" ht="20.100000000000001" customHeight="1" x14ac:dyDescent="0.25">
      <c r="A90" s="28" t="s">
        <v>24</v>
      </c>
      <c r="B90" s="27" t="s">
        <v>225</v>
      </c>
      <c r="C90" s="28" t="s">
        <v>18</v>
      </c>
      <c r="D90" s="28" t="s">
        <v>173</v>
      </c>
      <c r="E90" s="28" t="s">
        <v>24</v>
      </c>
      <c r="F90" s="28" t="s">
        <v>104</v>
      </c>
      <c r="G90" s="28" t="s">
        <v>166</v>
      </c>
      <c r="H90" s="28" t="s">
        <v>16</v>
      </c>
      <c r="I90" s="27" t="s">
        <v>82</v>
      </c>
      <c r="J90" s="27" t="s">
        <v>113</v>
      </c>
      <c r="K90" s="30">
        <v>14550</v>
      </c>
      <c r="L90" s="27" t="s">
        <v>229</v>
      </c>
      <c r="M90" s="31">
        <v>45575</v>
      </c>
      <c r="N90" s="31">
        <v>45596</v>
      </c>
      <c r="O90" s="31" t="str">
        <f>TEXT(Table1[[#This Row],[ميعاد الطلب]],"mmm")</f>
        <v>Oct</v>
      </c>
      <c r="P90" s="31">
        <v>45598</v>
      </c>
      <c r="Q90" s="32">
        <f>Table1[[#This Row],[تاريخ التسليم]]-Table1[[#This Row],[ميعاد التسليم]]</f>
        <v>2</v>
      </c>
      <c r="R90" s="29" t="str">
        <f>IF(Table1[[#This Row],[مده التوصيل]]&lt;=0, "yes", "no")</f>
        <v>no</v>
      </c>
      <c r="S90" s="28" t="s">
        <v>192</v>
      </c>
      <c r="T90" s="28" t="s">
        <v>100</v>
      </c>
    </row>
    <row r="91" spans="1:20" ht="20.100000000000001" customHeight="1" x14ac:dyDescent="0.25">
      <c r="A91" s="28" t="s">
        <v>33</v>
      </c>
      <c r="B91" s="27" t="s">
        <v>221</v>
      </c>
      <c r="C91" s="28" t="s">
        <v>179</v>
      </c>
      <c r="D91" s="28" t="s">
        <v>173</v>
      </c>
      <c r="E91" s="28" t="s">
        <v>4</v>
      </c>
      <c r="F91" s="28" t="s">
        <v>70</v>
      </c>
      <c r="G91" s="28" t="s">
        <v>80</v>
      </c>
      <c r="H91" s="29" t="s">
        <v>74</v>
      </c>
      <c r="I91" s="27" t="s">
        <v>82</v>
      </c>
      <c r="J91" s="27" t="s">
        <v>190</v>
      </c>
      <c r="K91" s="30">
        <v>11949</v>
      </c>
      <c r="L91" s="27" t="s">
        <v>229</v>
      </c>
      <c r="M91" s="31">
        <v>45547</v>
      </c>
      <c r="N91" s="31">
        <v>45564</v>
      </c>
      <c r="O91" s="31" t="str">
        <f>TEXT(Table1[[#This Row],[ميعاد الطلب]],"mmm")</f>
        <v>Sep</v>
      </c>
      <c r="P91" s="31">
        <v>45567</v>
      </c>
      <c r="Q91" s="32">
        <f>Table1[[#This Row],[تاريخ التسليم]]-Table1[[#This Row],[ميعاد التسليم]]</f>
        <v>3</v>
      </c>
      <c r="R91" s="29" t="str">
        <f>IF(Table1[[#This Row],[مده التوصيل]]&lt;=0, "yes", "no")</f>
        <v>no</v>
      </c>
      <c r="S91" s="28" t="s">
        <v>192</v>
      </c>
      <c r="T91" s="28" t="s">
        <v>100</v>
      </c>
    </row>
    <row r="92" spans="1:20" ht="20.100000000000001" customHeight="1" x14ac:dyDescent="0.25">
      <c r="A92" s="28" t="s">
        <v>33</v>
      </c>
      <c r="B92" s="27" t="s">
        <v>221</v>
      </c>
      <c r="C92" s="28" t="s">
        <v>179</v>
      </c>
      <c r="D92" s="28" t="s">
        <v>173</v>
      </c>
      <c r="E92" s="28" t="s">
        <v>4</v>
      </c>
      <c r="F92" s="28" t="s">
        <v>70</v>
      </c>
      <c r="G92" s="28" t="s">
        <v>80</v>
      </c>
      <c r="H92" s="29" t="s">
        <v>74</v>
      </c>
      <c r="I92" s="27" t="s">
        <v>82</v>
      </c>
      <c r="J92" s="27" t="s">
        <v>190</v>
      </c>
      <c r="K92" s="30">
        <v>11949</v>
      </c>
      <c r="L92" s="27" t="s">
        <v>229</v>
      </c>
      <c r="M92" s="31">
        <v>45547</v>
      </c>
      <c r="N92" s="31">
        <v>45564</v>
      </c>
      <c r="O92" s="31" t="str">
        <f>TEXT(Table1[[#This Row],[ميعاد الطلب]],"mmm")</f>
        <v>Sep</v>
      </c>
      <c r="P92" s="31">
        <v>45567</v>
      </c>
      <c r="Q92" s="32">
        <f>Table1[[#This Row],[تاريخ التسليم]]-Table1[[#This Row],[ميعاد التسليم]]</f>
        <v>3</v>
      </c>
      <c r="R92" s="29" t="str">
        <f>IF(Table1[[#This Row],[مده التوصيل]]&lt;=0, "yes", "no")</f>
        <v>no</v>
      </c>
      <c r="S92" s="28" t="s">
        <v>192</v>
      </c>
      <c r="T92" s="28" t="s">
        <v>100</v>
      </c>
    </row>
    <row r="93" spans="1:20" ht="20.100000000000001" customHeight="1" x14ac:dyDescent="0.25">
      <c r="A93" s="28" t="s">
        <v>17</v>
      </c>
      <c r="B93" s="27" t="s">
        <v>221</v>
      </c>
      <c r="C93" s="28" t="s">
        <v>37</v>
      </c>
      <c r="D93" s="28" t="s">
        <v>173</v>
      </c>
      <c r="E93" s="28" t="s">
        <v>4</v>
      </c>
      <c r="F93" s="28" t="s">
        <v>70</v>
      </c>
      <c r="G93" s="28" t="s">
        <v>85</v>
      </c>
      <c r="H93" s="29" t="s">
        <v>74</v>
      </c>
      <c r="I93" s="33" t="s">
        <v>81</v>
      </c>
      <c r="J93" s="33" t="s">
        <v>190</v>
      </c>
      <c r="K93" s="30">
        <v>16599</v>
      </c>
      <c r="L93" s="27" t="s">
        <v>10</v>
      </c>
      <c r="M93" s="31">
        <v>45548</v>
      </c>
      <c r="N93" s="31">
        <v>45565</v>
      </c>
      <c r="O93" s="31" t="str">
        <f>TEXT(Table1[[#This Row],[ميعاد الطلب]],"mmm")</f>
        <v>Sep</v>
      </c>
      <c r="P93" s="31">
        <v>45568</v>
      </c>
      <c r="Q93" s="32">
        <f>Table1[[#This Row],[تاريخ التسليم]]-Table1[[#This Row],[ميعاد التسليم]]</f>
        <v>3</v>
      </c>
      <c r="R93" s="29" t="str">
        <f>IF(Table1[[#This Row],[مده التوصيل]]&lt;=0, "yes", "no")</f>
        <v>no</v>
      </c>
      <c r="S93" s="28" t="s">
        <v>192</v>
      </c>
      <c r="T93" s="28" t="s">
        <v>100</v>
      </c>
    </row>
    <row r="94" spans="1:20" ht="20.100000000000001" customHeight="1" x14ac:dyDescent="0.25">
      <c r="A94" s="28" t="s">
        <v>39</v>
      </c>
      <c r="B94" s="27" t="s">
        <v>221</v>
      </c>
      <c r="C94" s="28" t="s">
        <v>68</v>
      </c>
      <c r="D94" s="28" t="s">
        <v>107</v>
      </c>
      <c r="E94" s="28" t="s">
        <v>4</v>
      </c>
      <c r="F94" s="28" t="s">
        <v>70</v>
      </c>
      <c r="G94" s="28" t="s">
        <v>80</v>
      </c>
      <c r="H94" s="29" t="s">
        <v>74</v>
      </c>
      <c r="I94" s="33" t="s">
        <v>84</v>
      </c>
      <c r="J94" s="33" t="s">
        <v>190</v>
      </c>
      <c r="K94" s="30">
        <v>13099</v>
      </c>
      <c r="L94" s="27" t="s">
        <v>10</v>
      </c>
      <c r="M94" s="31">
        <v>45548</v>
      </c>
      <c r="N94" s="31">
        <v>45565</v>
      </c>
      <c r="O94" s="31" t="str">
        <f>TEXT(Table1[[#This Row],[ميعاد الطلب]],"mmm")</f>
        <v>Sep</v>
      </c>
      <c r="P94" s="31">
        <v>45568</v>
      </c>
      <c r="Q94" s="32">
        <f>Table1[[#This Row],[تاريخ التسليم]]-Table1[[#This Row],[ميعاد التسليم]]</f>
        <v>3</v>
      </c>
      <c r="R94" s="29" t="str">
        <f>IF(Table1[[#This Row],[مده التوصيل]]&lt;=0, "yes", "no")</f>
        <v>no</v>
      </c>
      <c r="S94" s="28" t="s">
        <v>191</v>
      </c>
      <c r="T94" s="28" t="s">
        <v>100</v>
      </c>
    </row>
    <row r="95" spans="1:20" ht="20.100000000000001" customHeight="1" x14ac:dyDescent="0.25">
      <c r="A95" s="28" t="s">
        <v>132</v>
      </c>
      <c r="B95" s="27" t="s">
        <v>221</v>
      </c>
      <c r="C95" s="28" t="s">
        <v>46</v>
      </c>
      <c r="D95" s="28" t="s">
        <v>173</v>
      </c>
      <c r="E95" s="28" t="s">
        <v>4</v>
      </c>
      <c r="F95" s="28" t="s">
        <v>70</v>
      </c>
      <c r="G95" s="28" t="s">
        <v>73</v>
      </c>
      <c r="H95" s="28" t="s">
        <v>89</v>
      </c>
      <c r="I95" s="27" t="s">
        <v>87</v>
      </c>
      <c r="J95" s="27" t="s">
        <v>190</v>
      </c>
      <c r="K95" s="30">
        <v>11395</v>
      </c>
      <c r="L95" s="27" t="s">
        <v>10</v>
      </c>
      <c r="M95" s="31">
        <v>45608</v>
      </c>
      <c r="N95" s="31">
        <v>45620</v>
      </c>
      <c r="O95" s="31" t="str">
        <f>TEXT(Table1[[#This Row],[ميعاد الطلب]],"mmm")</f>
        <v>Nov</v>
      </c>
      <c r="P95" s="31">
        <v>45623</v>
      </c>
      <c r="Q95" s="32">
        <f>Table1[[#This Row],[تاريخ التسليم]]-Table1[[#This Row],[ميعاد التسليم]]</f>
        <v>3</v>
      </c>
      <c r="R95" s="29" t="str">
        <f>IF(Table1[[#This Row],[مده التوصيل]]&lt;=0, "yes", "no")</f>
        <v>no</v>
      </c>
      <c r="S95" s="28" t="s">
        <v>192</v>
      </c>
      <c r="T95" s="28" t="s">
        <v>100</v>
      </c>
    </row>
    <row r="96" spans="1:20" ht="20.100000000000001" customHeight="1" x14ac:dyDescent="0.25">
      <c r="A96" s="28" t="s">
        <v>30</v>
      </c>
      <c r="B96" s="27" t="s">
        <v>221</v>
      </c>
      <c r="C96" s="28" t="s">
        <v>172</v>
      </c>
      <c r="D96" s="28" t="s">
        <v>169</v>
      </c>
      <c r="E96" s="28" t="s">
        <v>4</v>
      </c>
      <c r="F96" s="28" t="s">
        <v>70</v>
      </c>
      <c r="G96" s="28" t="s">
        <v>73</v>
      </c>
      <c r="H96" s="28" t="s">
        <v>75</v>
      </c>
      <c r="I96" s="27" t="s">
        <v>81</v>
      </c>
      <c r="J96" s="27" t="s">
        <v>190</v>
      </c>
      <c r="K96" s="30">
        <v>10987</v>
      </c>
      <c r="L96" s="27" t="s">
        <v>10</v>
      </c>
      <c r="M96" s="31">
        <v>45544</v>
      </c>
      <c r="N96" s="31">
        <v>45552</v>
      </c>
      <c r="O96" s="31" t="str">
        <f>TEXT(Table1[[#This Row],[ميعاد الطلب]],"mmm")</f>
        <v>Sep</v>
      </c>
      <c r="P96" s="31">
        <v>45556</v>
      </c>
      <c r="Q96" s="32">
        <f>Table1[[#This Row],[تاريخ التسليم]]-Table1[[#This Row],[ميعاد التسليم]]</f>
        <v>4</v>
      </c>
      <c r="R96" s="29" t="str">
        <f>IF(Table1[[#This Row],[مده التوصيل]]&lt;=0, "yes", "no")</f>
        <v>no</v>
      </c>
      <c r="S96" s="28" t="s">
        <v>192</v>
      </c>
      <c r="T96" s="28" t="s">
        <v>100</v>
      </c>
    </row>
    <row r="97" spans="1:20" ht="20.100000000000001" customHeight="1" x14ac:dyDescent="0.25">
      <c r="A97" s="28" t="s">
        <v>48</v>
      </c>
      <c r="B97" s="27" t="s">
        <v>221</v>
      </c>
      <c r="C97" s="28" t="s">
        <v>46</v>
      </c>
      <c r="D97" s="28" t="s">
        <v>173</v>
      </c>
      <c r="E97" s="28" t="s">
        <v>4</v>
      </c>
      <c r="F97" s="28" t="s">
        <v>70</v>
      </c>
      <c r="G97" s="28" t="s">
        <v>85</v>
      </c>
      <c r="H97" s="29" t="s">
        <v>74</v>
      </c>
      <c r="I97" s="27" t="s">
        <v>82</v>
      </c>
      <c r="J97" s="33" t="s">
        <v>190</v>
      </c>
      <c r="K97" s="30">
        <v>17249</v>
      </c>
      <c r="L97" s="27" t="s">
        <v>10</v>
      </c>
      <c r="M97" s="31">
        <v>45548</v>
      </c>
      <c r="N97" s="31">
        <v>45565</v>
      </c>
      <c r="O97" s="31" t="str">
        <f>TEXT(Table1[[#This Row],[ميعاد الطلب]],"mmm")</f>
        <v>Sep</v>
      </c>
      <c r="P97" s="31">
        <v>45569</v>
      </c>
      <c r="Q97" s="32">
        <f>Table1[[#This Row],[تاريخ التسليم]]-Table1[[#This Row],[ميعاد التسليم]]</f>
        <v>4</v>
      </c>
      <c r="R97" s="29" t="str">
        <f>IF(Table1[[#This Row],[مده التوصيل]]&lt;=0, "yes", "no")</f>
        <v>no</v>
      </c>
      <c r="S97" s="28" t="s">
        <v>192</v>
      </c>
      <c r="T97" s="28" t="s">
        <v>100</v>
      </c>
    </row>
    <row r="98" spans="1:20" ht="20.100000000000001" customHeight="1" x14ac:dyDescent="0.25">
      <c r="A98" s="28" t="s">
        <v>125</v>
      </c>
      <c r="B98" s="27" t="s">
        <v>221</v>
      </c>
      <c r="C98" s="28" t="s">
        <v>172</v>
      </c>
      <c r="D98" s="28" t="s">
        <v>169</v>
      </c>
      <c r="E98" s="28" t="s">
        <v>4</v>
      </c>
      <c r="F98" s="28" t="s">
        <v>70</v>
      </c>
      <c r="G98" s="28" t="s">
        <v>73</v>
      </c>
      <c r="H98" s="28" t="s">
        <v>89</v>
      </c>
      <c r="I98" s="27" t="s">
        <v>81</v>
      </c>
      <c r="J98" s="27" t="s">
        <v>190</v>
      </c>
      <c r="K98" s="30">
        <v>8943</v>
      </c>
      <c r="L98" s="27" t="s">
        <v>229</v>
      </c>
      <c r="M98" s="31">
        <v>45586</v>
      </c>
      <c r="N98" s="31">
        <v>45610</v>
      </c>
      <c r="O98" s="31" t="str">
        <f>TEXT(Table1[[#This Row],[ميعاد الطلب]],"mmm")</f>
        <v>Oct</v>
      </c>
      <c r="P98" s="31">
        <v>45614</v>
      </c>
      <c r="Q98" s="32">
        <f>Table1[[#This Row],[تاريخ التسليم]]-Table1[[#This Row],[ميعاد التسليم]]</f>
        <v>4</v>
      </c>
      <c r="R98" s="29" t="str">
        <f>IF(Table1[[#This Row],[مده التوصيل]]&lt;=0, "yes", "no")</f>
        <v>no</v>
      </c>
      <c r="S98" s="28" t="s">
        <v>192</v>
      </c>
      <c r="T98" s="28" t="s">
        <v>100</v>
      </c>
    </row>
    <row r="99" spans="1:20" ht="20.100000000000001" customHeight="1" x14ac:dyDescent="0.25">
      <c r="A99" s="28" t="s">
        <v>17</v>
      </c>
      <c r="B99" s="27" t="s">
        <v>221</v>
      </c>
      <c r="C99" s="28" t="s">
        <v>23</v>
      </c>
      <c r="D99" s="28" t="s">
        <v>173</v>
      </c>
      <c r="E99" s="28" t="s">
        <v>4</v>
      </c>
      <c r="F99" s="28" t="s">
        <v>70</v>
      </c>
      <c r="G99" s="28" t="s">
        <v>73</v>
      </c>
      <c r="H99" s="28" t="s">
        <v>89</v>
      </c>
      <c r="I99" s="27" t="s">
        <v>81</v>
      </c>
      <c r="J99" s="27" t="s">
        <v>190</v>
      </c>
      <c r="K99" s="30">
        <v>7987</v>
      </c>
      <c r="L99" s="27" t="s">
        <v>10</v>
      </c>
      <c r="M99" s="31">
        <v>45541</v>
      </c>
      <c r="N99" s="31">
        <v>45551</v>
      </c>
      <c r="O99" s="31" t="str">
        <f>TEXT(Table1[[#This Row],[ميعاد الطلب]],"mmm")</f>
        <v>Sep</v>
      </c>
      <c r="P99" s="31">
        <v>45556</v>
      </c>
      <c r="Q99" s="32">
        <f>Table1[[#This Row],[تاريخ التسليم]]-Table1[[#This Row],[ميعاد التسليم]]</f>
        <v>5</v>
      </c>
      <c r="R99" s="29" t="str">
        <f>IF(Table1[[#This Row],[مده التوصيل]]&lt;=0, "yes", "no")</f>
        <v>no</v>
      </c>
      <c r="S99" s="28" t="s">
        <v>192</v>
      </c>
      <c r="T99" s="28" t="s">
        <v>100</v>
      </c>
    </row>
    <row r="100" spans="1:20" ht="20.100000000000001" customHeight="1" x14ac:dyDescent="0.25">
      <c r="A100" s="28" t="s">
        <v>17</v>
      </c>
      <c r="B100" s="27" t="s">
        <v>221</v>
      </c>
      <c r="C100" s="28" t="s">
        <v>23</v>
      </c>
      <c r="D100" s="28" t="s">
        <v>173</v>
      </c>
      <c r="E100" s="28" t="s">
        <v>4</v>
      </c>
      <c r="F100" s="28" t="s">
        <v>70</v>
      </c>
      <c r="G100" s="28" t="s">
        <v>73</v>
      </c>
      <c r="H100" s="28" t="s">
        <v>89</v>
      </c>
      <c r="I100" s="27" t="s">
        <v>81</v>
      </c>
      <c r="J100" s="27" t="s">
        <v>190</v>
      </c>
      <c r="K100" s="30">
        <v>7987</v>
      </c>
      <c r="L100" s="27" t="s">
        <v>10</v>
      </c>
      <c r="M100" s="31">
        <v>45541</v>
      </c>
      <c r="N100" s="31">
        <v>45551</v>
      </c>
      <c r="O100" s="31" t="str">
        <f>TEXT(Table1[[#This Row],[ميعاد الطلب]],"mmm")</f>
        <v>Sep</v>
      </c>
      <c r="P100" s="31">
        <v>45556</v>
      </c>
      <c r="Q100" s="32">
        <f>Table1[[#This Row],[تاريخ التسليم]]-Table1[[#This Row],[ميعاد التسليم]]</f>
        <v>5</v>
      </c>
      <c r="R100" s="29" t="str">
        <f>IF(Table1[[#This Row],[مده التوصيل]]&lt;=0, "yes", "no")</f>
        <v>no</v>
      </c>
      <c r="S100" s="28" t="s">
        <v>192</v>
      </c>
      <c r="T100" s="28" t="s">
        <v>100</v>
      </c>
    </row>
    <row r="101" spans="1:20" ht="20.100000000000001" customHeight="1" x14ac:dyDescent="0.25">
      <c r="A101" s="28" t="s">
        <v>17</v>
      </c>
      <c r="B101" s="27" t="s">
        <v>221</v>
      </c>
      <c r="C101" s="28" t="s">
        <v>23</v>
      </c>
      <c r="D101" s="28" t="s">
        <v>173</v>
      </c>
      <c r="E101" s="28" t="s">
        <v>4</v>
      </c>
      <c r="F101" s="28" t="s">
        <v>70</v>
      </c>
      <c r="G101" s="28" t="s">
        <v>73</v>
      </c>
      <c r="H101" s="28" t="s">
        <v>89</v>
      </c>
      <c r="I101" s="27" t="s">
        <v>81</v>
      </c>
      <c r="J101" s="27" t="s">
        <v>190</v>
      </c>
      <c r="K101" s="30">
        <v>7987</v>
      </c>
      <c r="L101" s="27" t="s">
        <v>10</v>
      </c>
      <c r="M101" s="31">
        <v>45541</v>
      </c>
      <c r="N101" s="31">
        <v>45551</v>
      </c>
      <c r="O101" s="31" t="str">
        <f>TEXT(Table1[[#This Row],[ميعاد الطلب]],"mmm")</f>
        <v>Sep</v>
      </c>
      <c r="P101" s="31">
        <v>45556</v>
      </c>
      <c r="Q101" s="32">
        <f>Table1[[#This Row],[تاريخ التسليم]]-Table1[[#This Row],[ميعاد التسليم]]</f>
        <v>5</v>
      </c>
      <c r="R101" s="29" t="str">
        <f>IF(Table1[[#This Row],[مده التوصيل]]&lt;=0, "yes", "no")</f>
        <v>no</v>
      </c>
      <c r="S101" s="28" t="s">
        <v>192</v>
      </c>
      <c r="T101" s="28" t="s">
        <v>100</v>
      </c>
    </row>
    <row r="102" spans="1:20" ht="20.100000000000001" customHeight="1" x14ac:dyDescent="0.25">
      <c r="A102" s="28" t="s">
        <v>17</v>
      </c>
      <c r="B102" s="27" t="s">
        <v>221</v>
      </c>
      <c r="C102" s="28" t="s">
        <v>23</v>
      </c>
      <c r="D102" s="28" t="s">
        <v>173</v>
      </c>
      <c r="E102" s="28" t="s">
        <v>4</v>
      </c>
      <c r="F102" s="28" t="s">
        <v>70</v>
      </c>
      <c r="G102" s="28" t="s">
        <v>73</v>
      </c>
      <c r="H102" s="28" t="s">
        <v>89</v>
      </c>
      <c r="I102" s="27" t="s">
        <v>81</v>
      </c>
      <c r="J102" s="27" t="s">
        <v>190</v>
      </c>
      <c r="K102" s="30">
        <v>7987</v>
      </c>
      <c r="L102" s="27" t="s">
        <v>10</v>
      </c>
      <c r="M102" s="31">
        <v>45541</v>
      </c>
      <c r="N102" s="31">
        <v>45551</v>
      </c>
      <c r="O102" s="31" t="str">
        <f>TEXT(Table1[[#This Row],[ميعاد الطلب]],"mmm")</f>
        <v>Sep</v>
      </c>
      <c r="P102" s="31">
        <v>45556</v>
      </c>
      <c r="Q102" s="32">
        <f>Table1[[#This Row],[تاريخ التسليم]]-Table1[[#This Row],[ميعاد التسليم]]</f>
        <v>5</v>
      </c>
      <c r="R102" s="29" t="str">
        <f>IF(Table1[[#This Row],[مده التوصيل]]&lt;=0, "yes", "no")</f>
        <v>no</v>
      </c>
      <c r="S102" s="28" t="s">
        <v>192</v>
      </c>
      <c r="T102" s="28" t="s">
        <v>100</v>
      </c>
    </row>
    <row r="103" spans="1:20" ht="20.100000000000001" customHeight="1" x14ac:dyDescent="0.25">
      <c r="A103" s="28" t="s">
        <v>66</v>
      </c>
      <c r="B103" s="27" t="s">
        <v>221</v>
      </c>
      <c r="C103" s="28" t="s">
        <v>172</v>
      </c>
      <c r="D103" s="28" t="s">
        <v>169</v>
      </c>
      <c r="E103" s="28" t="s">
        <v>4</v>
      </c>
      <c r="F103" s="28" t="s">
        <v>70</v>
      </c>
      <c r="G103" s="28" t="s">
        <v>80</v>
      </c>
      <c r="H103" s="29" t="s">
        <v>74</v>
      </c>
      <c r="I103" s="27" t="s">
        <v>86</v>
      </c>
      <c r="J103" s="27" t="s">
        <v>190</v>
      </c>
      <c r="K103" s="30">
        <v>12999</v>
      </c>
      <c r="L103" s="27" t="s">
        <v>10</v>
      </c>
      <c r="M103" s="31">
        <v>45549</v>
      </c>
      <c r="N103" s="31">
        <v>45562</v>
      </c>
      <c r="O103" s="31" t="str">
        <f>TEXT(Table1[[#This Row],[ميعاد الطلب]],"mmm")</f>
        <v>Sep</v>
      </c>
      <c r="P103" s="31">
        <v>45567</v>
      </c>
      <c r="Q103" s="32">
        <f>Table1[[#This Row],[تاريخ التسليم]]-Table1[[#This Row],[ميعاد التسليم]]</f>
        <v>5</v>
      </c>
      <c r="R103" s="29" t="str">
        <f>IF(Table1[[#This Row],[مده التوصيل]]&lt;=0, "yes", "no")</f>
        <v>no</v>
      </c>
      <c r="S103" s="28" t="s">
        <v>192</v>
      </c>
      <c r="T103" s="28" t="s">
        <v>100</v>
      </c>
    </row>
    <row r="104" spans="1:20" ht="20.100000000000001" customHeight="1" x14ac:dyDescent="0.25">
      <c r="A104" s="28" t="s">
        <v>65</v>
      </c>
      <c r="B104" s="27" t="s">
        <v>221</v>
      </c>
      <c r="C104" s="28" t="s">
        <v>180</v>
      </c>
      <c r="D104" s="28" t="s">
        <v>169</v>
      </c>
      <c r="E104" s="28" t="s">
        <v>4</v>
      </c>
      <c r="F104" s="28" t="s">
        <v>142</v>
      </c>
      <c r="G104" s="28" t="s">
        <v>94</v>
      </c>
      <c r="H104" s="28" t="s">
        <v>4</v>
      </c>
      <c r="I104" s="27" t="s">
        <v>82</v>
      </c>
      <c r="J104" s="27" t="s">
        <v>190</v>
      </c>
      <c r="K104" s="30">
        <v>8349</v>
      </c>
      <c r="L104" s="27" t="s">
        <v>10</v>
      </c>
      <c r="M104" s="31">
        <v>45549</v>
      </c>
      <c r="N104" s="31">
        <v>45581</v>
      </c>
      <c r="O104" s="31" t="str">
        <f>TEXT(Table1[[#This Row],[ميعاد الطلب]],"mmm")</f>
        <v>Sep</v>
      </c>
      <c r="P104" s="31">
        <v>45586</v>
      </c>
      <c r="Q104" s="32">
        <f>Table1[[#This Row],[تاريخ التسليم]]-Table1[[#This Row],[ميعاد التسليم]]</f>
        <v>5</v>
      </c>
      <c r="R104" s="29" t="str">
        <f>IF(Table1[[#This Row],[مده التوصيل]]&lt;=0, "yes", "no")</f>
        <v>no</v>
      </c>
      <c r="S104" s="28" t="s">
        <v>192</v>
      </c>
      <c r="T104" s="28" t="s">
        <v>100</v>
      </c>
    </row>
    <row r="105" spans="1:20" ht="20.100000000000001" customHeight="1" x14ac:dyDescent="0.25">
      <c r="A105" s="28" t="s">
        <v>140</v>
      </c>
      <c r="B105" s="27" t="s">
        <v>221</v>
      </c>
      <c r="C105" s="28" t="s">
        <v>184</v>
      </c>
      <c r="D105" s="28" t="s">
        <v>173</v>
      </c>
      <c r="E105" s="28" t="s">
        <v>4</v>
      </c>
      <c r="F105" s="28" t="s">
        <v>70</v>
      </c>
      <c r="G105" s="28" t="s">
        <v>136</v>
      </c>
      <c r="H105" s="28" t="s">
        <v>75</v>
      </c>
      <c r="I105" s="27" t="s">
        <v>86</v>
      </c>
      <c r="J105" s="27" t="s">
        <v>190</v>
      </c>
      <c r="K105" s="30">
        <v>10885</v>
      </c>
      <c r="L105" s="27" t="s">
        <v>229</v>
      </c>
      <c r="M105" s="31">
        <v>45620</v>
      </c>
      <c r="N105" s="31">
        <v>45631</v>
      </c>
      <c r="O105" s="31" t="str">
        <f>TEXT(Table1[[#This Row],[ميعاد الطلب]],"mmm")</f>
        <v>Nov</v>
      </c>
      <c r="P105" s="31">
        <v>45636</v>
      </c>
      <c r="Q105" s="32">
        <f>Table1[[#This Row],[تاريخ التسليم]]-Table1[[#This Row],[ميعاد التسليم]]</f>
        <v>5</v>
      </c>
      <c r="R105" s="29" t="str">
        <f>IF(Table1[[#This Row],[مده التوصيل]]&lt;=0, "yes", "no")</f>
        <v>no</v>
      </c>
      <c r="S105" s="28" t="s">
        <v>192</v>
      </c>
      <c r="T105" s="28" t="s">
        <v>100</v>
      </c>
    </row>
    <row r="106" spans="1:20" ht="20.100000000000001" customHeight="1" x14ac:dyDescent="0.25">
      <c r="A106" s="28" t="s">
        <v>154</v>
      </c>
      <c r="B106" s="27" t="s">
        <v>221</v>
      </c>
      <c r="C106" s="28" t="s">
        <v>63</v>
      </c>
      <c r="D106" s="28" t="s">
        <v>173</v>
      </c>
      <c r="E106" s="28" t="s">
        <v>4</v>
      </c>
      <c r="F106" s="28" t="s">
        <v>70</v>
      </c>
      <c r="G106" s="28" t="s">
        <v>71</v>
      </c>
      <c r="H106" s="28" t="s">
        <v>4</v>
      </c>
      <c r="I106" s="27" t="s">
        <v>82</v>
      </c>
      <c r="J106" s="27" t="s">
        <v>82</v>
      </c>
      <c r="K106" s="30">
        <v>10249</v>
      </c>
      <c r="L106" s="27" t="s">
        <v>229</v>
      </c>
      <c r="M106" s="31">
        <v>45630</v>
      </c>
      <c r="N106" s="31">
        <v>45640</v>
      </c>
      <c r="O106" s="31" t="str">
        <f>TEXT(Table1[[#This Row],[ميعاد الطلب]],"mmm")</f>
        <v>Dec</v>
      </c>
      <c r="P106" s="31">
        <v>45645</v>
      </c>
      <c r="Q106" s="32">
        <f>Table1[[#This Row],[تاريخ التسليم]]-Table1[[#This Row],[ميعاد التسليم]]</f>
        <v>5</v>
      </c>
      <c r="R106" s="29" t="str">
        <f>IF(Table1[[#This Row],[مده التوصيل]]&lt;=0, "yes", "no")</f>
        <v>no</v>
      </c>
      <c r="S106" s="28" t="s">
        <v>192</v>
      </c>
      <c r="T106" s="28" t="s">
        <v>100</v>
      </c>
    </row>
    <row r="107" spans="1:20" ht="20.100000000000001" customHeight="1" x14ac:dyDescent="0.25">
      <c r="A107" s="28" t="s">
        <v>44</v>
      </c>
      <c r="B107" s="27" t="s">
        <v>221</v>
      </c>
      <c r="C107" s="28" t="s">
        <v>172</v>
      </c>
      <c r="D107" s="28" t="s">
        <v>169</v>
      </c>
      <c r="E107" s="28" t="s">
        <v>4</v>
      </c>
      <c r="F107" s="28" t="s">
        <v>70</v>
      </c>
      <c r="G107" s="28" t="s">
        <v>71</v>
      </c>
      <c r="H107" s="28" t="s">
        <v>4</v>
      </c>
      <c r="I107" s="27" t="s">
        <v>82</v>
      </c>
      <c r="J107" s="27" t="s">
        <v>82</v>
      </c>
      <c r="K107" s="30">
        <v>9399</v>
      </c>
      <c r="L107" s="27" t="s">
        <v>10</v>
      </c>
      <c r="M107" s="31">
        <v>45548</v>
      </c>
      <c r="N107" s="31">
        <v>45559</v>
      </c>
      <c r="O107" s="31" t="str">
        <f>TEXT(Table1[[#This Row],[ميعاد الطلب]],"mmm")</f>
        <v>Sep</v>
      </c>
      <c r="P107" s="31">
        <v>45565</v>
      </c>
      <c r="Q107" s="32">
        <f>Table1[[#This Row],[تاريخ التسليم]]-Table1[[#This Row],[ميعاد التسليم]]</f>
        <v>6</v>
      </c>
      <c r="R107" s="29" t="str">
        <f>IF(Table1[[#This Row],[مده التوصيل]]&lt;=0, "yes", "no")</f>
        <v>no</v>
      </c>
      <c r="S107" s="28" t="s">
        <v>191</v>
      </c>
      <c r="T107" s="28" t="s">
        <v>100</v>
      </c>
    </row>
    <row r="108" spans="1:20" ht="20.100000000000001" customHeight="1" x14ac:dyDescent="0.25">
      <c r="A108" s="28" t="s">
        <v>24</v>
      </c>
      <c r="B108" s="27" t="s">
        <v>225</v>
      </c>
      <c r="C108" s="28" t="s">
        <v>172</v>
      </c>
      <c r="D108" s="28" t="s">
        <v>169</v>
      </c>
      <c r="E108" s="28" t="s">
        <v>24</v>
      </c>
      <c r="F108" s="28" t="s">
        <v>70</v>
      </c>
      <c r="G108" s="28" t="s">
        <v>80</v>
      </c>
      <c r="H108" s="28" t="s">
        <v>108</v>
      </c>
      <c r="I108" s="27" t="s">
        <v>123</v>
      </c>
      <c r="J108" s="27" t="s">
        <v>190</v>
      </c>
      <c r="K108" s="30">
        <v>12777.5</v>
      </c>
      <c r="L108" s="27" t="s">
        <v>229</v>
      </c>
      <c r="M108" s="31">
        <v>45587</v>
      </c>
      <c r="N108" s="31">
        <v>45608</v>
      </c>
      <c r="O108" s="31" t="str">
        <f>TEXT(Table1[[#This Row],[ميعاد الطلب]],"mmm")</f>
        <v>Oct</v>
      </c>
      <c r="P108" s="31">
        <v>45614</v>
      </c>
      <c r="Q108" s="32">
        <f>Table1[[#This Row],[تاريخ التسليم]]-Table1[[#This Row],[ميعاد التسليم]]</f>
        <v>6</v>
      </c>
      <c r="R108" s="29" t="str">
        <f>IF(Table1[[#This Row],[مده التوصيل]]&lt;=0, "yes", "no")</f>
        <v>no</v>
      </c>
      <c r="S108" s="28" t="s">
        <v>192</v>
      </c>
      <c r="T108" s="28" t="s">
        <v>100</v>
      </c>
    </row>
    <row r="109" spans="1:20" ht="20.100000000000001" customHeight="1" x14ac:dyDescent="0.25">
      <c r="A109" s="28" t="s">
        <v>24</v>
      </c>
      <c r="B109" s="27" t="s">
        <v>225</v>
      </c>
      <c r="C109" s="28" t="s">
        <v>172</v>
      </c>
      <c r="D109" s="28" t="s">
        <v>169</v>
      </c>
      <c r="E109" s="28" t="s">
        <v>24</v>
      </c>
      <c r="F109" s="28" t="s">
        <v>70</v>
      </c>
      <c r="G109" s="28" t="s">
        <v>80</v>
      </c>
      <c r="H109" s="28" t="s">
        <v>108</v>
      </c>
      <c r="I109" s="27" t="s">
        <v>123</v>
      </c>
      <c r="J109" s="27" t="s">
        <v>190</v>
      </c>
      <c r="K109" s="30">
        <v>12777.5</v>
      </c>
      <c r="L109" s="27" t="s">
        <v>229</v>
      </c>
      <c r="M109" s="31">
        <v>45587</v>
      </c>
      <c r="N109" s="31">
        <v>45608</v>
      </c>
      <c r="O109" s="31" t="str">
        <f>TEXT(Table1[[#This Row],[ميعاد الطلب]],"mmm")</f>
        <v>Oct</v>
      </c>
      <c r="P109" s="31">
        <v>45614</v>
      </c>
      <c r="Q109" s="32">
        <f>Table1[[#This Row],[تاريخ التسليم]]-Table1[[#This Row],[ميعاد التسليم]]</f>
        <v>6</v>
      </c>
      <c r="R109" s="29" t="str">
        <f>IF(Table1[[#This Row],[مده التوصيل]]&lt;=0, "yes", "no")</f>
        <v>no</v>
      </c>
      <c r="S109" s="28" t="s">
        <v>192</v>
      </c>
      <c r="T109" s="28" t="s">
        <v>100</v>
      </c>
    </row>
    <row r="110" spans="1:20" ht="20.100000000000001" customHeight="1" x14ac:dyDescent="0.25">
      <c r="A110" s="28" t="s">
        <v>19</v>
      </c>
      <c r="B110" s="27" t="s">
        <v>221</v>
      </c>
      <c r="C110" s="28" t="s">
        <v>172</v>
      </c>
      <c r="D110" s="28" t="s">
        <v>169</v>
      </c>
      <c r="E110" s="28" t="s">
        <v>4</v>
      </c>
      <c r="F110" s="28" t="s">
        <v>70</v>
      </c>
      <c r="G110" s="28" t="s">
        <v>73</v>
      </c>
      <c r="H110" s="28" t="s">
        <v>4</v>
      </c>
      <c r="I110" s="27" t="s">
        <v>81</v>
      </c>
      <c r="J110" s="27" t="s">
        <v>81</v>
      </c>
      <c r="K110" s="30">
        <v>7228</v>
      </c>
      <c r="L110" s="27" t="s">
        <v>10</v>
      </c>
      <c r="M110" s="31">
        <v>45529</v>
      </c>
      <c r="N110" s="31">
        <v>45538</v>
      </c>
      <c r="O110" s="31" t="str">
        <f>TEXT(Table1[[#This Row],[ميعاد الطلب]],"mmm")</f>
        <v>Aug</v>
      </c>
      <c r="P110" s="31">
        <v>45545</v>
      </c>
      <c r="Q110" s="32">
        <f>Table1[[#This Row],[تاريخ التسليم]]-Table1[[#This Row],[ميعاد التسليم]]</f>
        <v>7</v>
      </c>
      <c r="R110" s="29" t="str">
        <f>IF(Table1[[#This Row],[مده التوصيل]]&lt;=0, "yes", "no")</f>
        <v>no</v>
      </c>
      <c r="S110" s="28" t="s">
        <v>191</v>
      </c>
      <c r="T110" s="28" t="s">
        <v>100</v>
      </c>
    </row>
    <row r="111" spans="1:20" ht="20.100000000000001" customHeight="1" x14ac:dyDescent="0.25">
      <c r="A111" s="28" t="s">
        <v>40</v>
      </c>
      <c r="B111" s="27" t="s">
        <v>221</v>
      </c>
      <c r="C111" s="28" t="s">
        <v>23</v>
      </c>
      <c r="D111" s="28" t="s">
        <v>173</v>
      </c>
      <c r="E111" s="28" t="s">
        <v>4</v>
      </c>
      <c r="F111" s="28" t="s">
        <v>70</v>
      </c>
      <c r="G111" s="28" t="s">
        <v>73</v>
      </c>
      <c r="H111" s="28" t="s">
        <v>75</v>
      </c>
      <c r="I111" s="27" t="s">
        <v>82</v>
      </c>
      <c r="J111" s="33" t="s">
        <v>190</v>
      </c>
      <c r="K111" s="30">
        <v>7460</v>
      </c>
      <c r="L111" s="27" t="s">
        <v>10</v>
      </c>
      <c r="M111" s="31">
        <v>45548</v>
      </c>
      <c r="N111" s="31">
        <v>45561</v>
      </c>
      <c r="O111" s="31" t="str">
        <f>TEXT(Table1[[#This Row],[ميعاد الطلب]],"mmm")</f>
        <v>Sep</v>
      </c>
      <c r="P111" s="31">
        <v>45568</v>
      </c>
      <c r="Q111" s="32">
        <f>Table1[[#This Row],[تاريخ التسليم]]-Table1[[#This Row],[ميعاد التسليم]]</f>
        <v>7</v>
      </c>
      <c r="R111" s="29" t="str">
        <f>IF(Table1[[#This Row],[مده التوصيل]]&lt;=0, "yes", "no")</f>
        <v>no</v>
      </c>
      <c r="S111" s="28" t="s">
        <v>192</v>
      </c>
      <c r="T111" s="28" t="s">
        <v>100</v>
      </c>
    </row>
    <row r="112" spans="1:20" ht="20.100000000000001" customHeight="1" x14ac:dyDescent="0.25">
      <c r="A112" s="28" t="s">
        <v>42</v>
      </c>
      <c r="B112" s="27" t="s">
        <v>221</v>
      </c>
      <c r="C112" s="28" t="s">
        <v>23</v>
      </c>
      <c r="D112" s="28" t="s">
        <v>173</v>
      </c>
      <c r="E112" s="28" t="s">
        <v>4</v>
      </c>
      <c r="F112" s="28" t="s">
        <v>70</v>
      </c>
      <c r="G112" s="28" t="s">
        <v>73</v>
      </c>
      <c r="H112" s="29" t="s">
        <v>74</v>
      </c>
      <c r="I112" s="33" t="s">
        <v>88</v>
      </c>
      <c r="J112" s="33" t="s">
        <v>86</v>
      </c>
      <c r="K112" s="30">
        <v>9528</v>
      </c>
      <c r="L112" s="27" t="s">
        <v>10</v>
      </c>
      <c r="M112" s="31">
        <v>45548</v>
      </c>
      <c r="N112" s="31">
        <v>45561</v>
      </c>
      <c r="O112" s="31" t="str">
        <f>TEXT(Table1[[#This Row],[ميعاد الطلب]],"mmm")</f>
        <v>Sep</v>
      </c>
      <c r="P112" s="31">
        <v>45568</v>
      </c>
      <c r="Q112" s="32">
        <f>Table1[[#This Row],[تاريخ التسليم]]-Table1[[#This Row],[ميعاد التسليم]]</f>
        <v>7</v>
      </c>
      <c r="R112" s="29" t="str">
        <f>IF(Table1[[#This Row],[مده التوصيل]]&lt;=0, "yes", "no")</f>
        <v>no</v>
      </c>
      <c r="S112" s="28" t="s">
        <v>192</v>
      </c>
      <c r="T112" s="28" t="s">
        <v>100</v>
      </c>
    </row>
    <row r="113" spans="1:20" ht="20.100000000000001" customHeight="1" x14ac:dyDescent="0.25">
      <c r="A113" s="28" t="s">
        <v>35</v>
      </c>
      <c r="B113" s="27" t="s">
        <v>225</v>
      </c>
      <c r="C113" s="28" t="s">
        <v>176</v>
      </c>
      <c r="D113" s="28" t="s">
        <v>169</v>
      </c>
      <c r="E113" s="28" t="s">
        <v>26</v>
      </c>
      <c r="F113" s="28" t="s">
        <v>70</v>
      </c>
      <c r="G113" s="28" t="s">
        <v>80</v>
      </c>
      <c r="H113" s="29" t="s">
        <v>74</v>
      </c>
      <c r="I113" s="27" t="s">
        <v>81</v>
      </c>
      <c r="J113" s="27" t="s">
        <v>190</v>
      </c>
      <c r="K113" s="30">
        <v>5074</v>
      </c>
      <c r="L113" s="27" t="s">
        <v>36</v>
      </c>
      <c r="M113" s="31">
        <v>45556</v>
      </c>
      <c r="N113" s="31">
        <v>45570</v>
      </c>
      <c r="O113" s="31" t="str">
        <f>TEXT(Table1[[#This Row],[ميعاد الطلب]],"mmm")</f>
        <v>Sep</v>
      </c>
      <c r="P113" s="31">
        <v>45577</v>
      </c>
      <c r="Q113" s="32">
        <f>Table1[[#This Row],[تاريخ التسليم]]-Table1[[#This Row],[ميعاد التسليم]]</f>
        <v>7</v>
      </c>
      <c r="R113" s="29" t="str">
        <f>IF(Table1[[#This Row],[مده التوصيل]]&lt;=0, "yes", "no")</f>
        <v>no</v>
      </c>
      <c r="S113" s="28" t="s">
        <v>192</v>
      </c>
      <c r="T113" s="28" t="s">
        <v>100</v>
      </c>
    </row>
    <row r="114" spans="1:20" ht="20.100000000000001" customHeight="1" x14ac:dyDescent="0.25">
      <c r="A114" s="28" t="s">
        <v>60</v>
      </c>
      <c r="B114" s="27" t="s">
        <v>221</v>
      </c>
      <c r="C114" s="28" t="s">
        <v>181</v>
      </c>
      <c r="D114" s="28" t="s">
        <v>169</v>
      </c>
      <c r="E114" s="28" t="s">
        <v>4</v>
      </c>
      <c r="F114" s="28" t="s">
        <v>70</v>
      </c>
      <c r="G114" s="28" t="s">
        <v>80</v>
      </c>
      <c r="H114" s="29" t="s">
        <v>74</v>
      </c>
      <c r="I114" s="27" t="s">
        <v>82</v>
      </c>
      <c r="J114" s="27" t="s">
        <v>190</v>
      </c>
      <c r="K114" s="30">
        <v>11649</v>
      </c>
      <c r="L114" s="27" t="s">
        <v>229</v>
      </c>
      <c r="M114" s="31">
        <v>45591</v>
      </c>
      <c r="N114" s="31">
        <v>45606</v>
      </c>
      <c r="O114" s="31" t="str">
        <f>TEXT(Table1[[#This Row],[ميعاد الطلب]],"mmm")</f>
        <v>Oct</v>
      </c>
      <c r="P114" s="31">
        <v>45614</v>
      </c>
      <c r="Q114" s="32">
        <f>Table1[[#This Row],[تاريخ التسليم]]-Table1[[#This Row],[ميعاد التسليم]]</f>
        <v>8</v>
      </c>
      <c r="R114" s="29" t="str">
        <f>IF(Table1[[#This Row],[مده التوصيل]]&lt;=0, "yes", "no")</f>
        <v>no</v>
      </c>
      <c r="S114" s="28" t="s">
        <v>192</v>
      </c>
      <c r="T114" s="28" t="s">
        <v>100</v>
      </c>
    </row>
    <row r="115" spans="1:20" ht="20.100000000000001" customHeight="1" x14ac:dyDescent="0.25">
      <c r="A115" s="28" t="s">
        <v>60</v>
      </c>
      <c r="B115" s="27" t="s">
        <v>221</v>
      </c>
      <c r="C115" s="28" t="s">
        <v>181</v>
      </c>
      <c r="D115" s="28" t="s">
        <v>169</v>
      </c>
      <c r="E115" s="28" t="s">
        <v>4</v>
      </c>
      <c r="F115" s="28" t="s">
        <v>70</v>
      </c>
      <c r="G115" s="28" t="s">
        <v>80</v>
      </c>
      <c r="H115" s="29" t="s">
        <v>74</v>
      </c>
      <c r="I115" s="27" t="s">
        <v>82</v>
      </c>
      <c r="J115" s="27" t="s">
        <v>190</v>
      </c>
      <c r="K115" s="30">
        <v>11649</v>
      </c>
      <c r="L115" s="27" t="s">
        <v>229</v>
      </c>
      <c r="M115" s="31">
        <v>45591</v>
      </c>
      <c r="N115" s="31">
        <v>45606</v>
      </c>
      <c r="O115" s="31" t="str">
        <f>TEXT(Table1[[#This Row],[ميعاد الطلب]],"mmm")</f>
        <v>Oct</v>
      </c>
      <c r="P115" s="31">
        <v>45614</v>
      </c>
      <c r="Q115" s="32">
        <f>Table1[[#This Row],[تاريخ التسليم]]-Table1[[#This Row],[ميعاد التسليم]]</f>
        <v>8</v>
      </c>
      <c r="R115" s="29" t="str">
        <f>IF(Table1[[#This Row],[مده التوصيل]]&lt;=0, "yes", "no")</f>
        <v>no</v>
      </c>
      <c r="S115" s="28" t="s">
        <v>192</v>
      </c>
      <c r="T115" s="28" t="s">
        <v>100</v>
      </c>
    </row>
    <row r="116" spans="1:20" ht="20.100000000000001" customHeight="1" x14ac:dyDescent="0.25">
      <c r="A116" s="28" t="s">
        <v>21</v>
      </c>
      <c r="B116" s="27" t="s">
        <v>225</v>
      </c>
      <c r="C116" s="28" t="s">
        <v>20</v>
      </c>
      <c r="D116" s="28" t="s">
        <v>173</v>
      </c>
      <c r="E116" s="28" t="s">
        <v>21</v>
      </c>
      <c r="F116" s="28" t="s">
        <v>70</v>
      </c>
      <c r="G116" s="28" t="s">
        <v>80</v>
      </c>
      <c r="H116" s="29" t="s">
        <v>74</v>
      </c>
      <c r="I116" s="27" t="s">
        <v>101</v>
      </c>
      <c r="J116" s="27" t="s">
        <v>190</v>
      </c>
      <c r="K116" s="30">
        <v>6250</v>
      </c>
      <c r="L116" s="27" t="s">
        <v>36</v>
      </c>
      <c r="M116" s="31">
        <v>45558</v>
      </c>
      <c r="N116" s="31">
        <v>45573</v>
      </c>
      <c r="O116" s="31" t="str">
        <f>TEXT(Table1[[#This Row],[ميعاد الطلب]],"mmm")</f>
        <v>Sep</v>
      </c>
      <c r="P116" s="31">
        <v>45582</v>
      </c>
      <c r="Q116" s="32">
        <f>Table1[[#This Row],[تاريخ التسليم]]-Table1[[#This Row],[ميعاد التسليم]]</f>
        <v>9</v>
      </c>
      <c r="R116" s="29" t="str">
        <f>IF(Table1[[#This Row],[مده التوصيل]]&lt;=0, "yes", "no")</f>
        <v>no</v>
      </c>
      <c r="S116" s="28" t="s">
        <v>192</v>
      </c>
      <c r="T116" s="28" t="s">
        <v>100</v>
      </c>
    </row>
    <row r="117" spans="1:20" ht="20.100000000000001" customHeight="1" x14ac:dyDescent="0.25">
      <c r="A117" s="28" t="s">
        <v>21</v>
      </c>
      <c r="B117" s="27" t="s">
        <v>225</v>
      </c>
      <c r="C117" s="28" t="s">
        <v>20</v>
      </c>
      <c r="D117" s="28" t="s">
        <v>173</v>
      </c>
      <c r="E117" s="28" t="s">
        <v>21</v>
      </c>
      <c r="F117" s="28" t="s">
        <v>70</v>
      </c>
      <c r="G117" s="28" t="s">
        <v>80</v>
      </c>
      <c r="H117" s="29" t="s">
        <v>74</v>
      </c>
      <c r="I117" s="27" t="s">
        <v>101</v>
      </c>
      <c r="J117" s="27" t="s">
        <v>190</v>
      </c>
      <c r="K117" s="30">
        <v>6250</v>
      </c>
      <c r="L117" s="27" t="s">
        <v>36</v>
      </c>
      <c r="M117" s="31">
        <v>45558</v>
      </c>
      <c r="N117" s="31">
        <v>45573</v>
      </c>
      <c r="O117" s="31" t="str">
        <f>TEXT(Table1[[#This Row],[ميعاد الطلب]],"mmm")</f>
        <v>Sep</v>
      </c>
      <c r="P117" s="31">
        <v>45582</v>
      </c>
      <c r="Q117" s="32">
        <f>Table1[[#This Row],[تاريخ التسليم]]-Table1[[#This Row],[ميعاد التسليم]]</f>
        <v>9</v>
      </c>
      <c r="R117" s="29" t="str">
        <f>IF(Table1[[#This Row],[مده التوصيل]]&lt;=0, "yes", "no")</f>
        <v>no</v>
      </c>
      <c r="S117" s="28" t="s">
        <v>192</v>
      </c>
      <c r="T117" s="28" t="s">
        <v>100</v>
      </c>
    </row>
    <row r="118" spans="1:20" ht="20.100000000000001" customHeight="1" x14ac:dyDescent="0.25">
      <c r="A118" s="28" t="s">
        <v>143</v>
      </c>
      <c r="B118" s="27" t="s">
        <v>221</v>
      </c>
      <c r="C118" s="28" t="s">
        <v>175</v>
      </c>
      <c r="D118" s="28" t="s">
        <v>173</v>
      </c>
      <c r="E118" s="28" t="s">
        <v>4</v>
      </c>
      <c r="F118" s="28" t="s">
        <v>142</v>
      </c>
      <c r="G118" s="28" t="s">
        <v>144</v>
      </c>
      <c r="H118" s="28" t="s">
        <v>4</v>
      </c>
      <c r="I118" s="27" t="s">
        <v>81</v>
      </c>
      <c r="J118" s="27" t="s">
        <v>145</v>
      </c>
      <c r="K118" s="30">
        <v>10249</v>
      </c>
      <c r="L118" s="27" t="s">
        <v>229</v>
      </c>
      <c r="M118" s="31">
        <v>45623</v>
      </c>
      <c r="N118" s="31">
        <v>45636</v>
      </c>
      <c r="O118" s="31" t="str">
        <f>TEXT(Table1[[#This Row],[ميعاد الطلب]],"mmm")</f>
        <v>Nov</v>
      </c>
      <c r="P118" s="31">
        <v>45645</v>
      </c>
      <c r="Q118" s="32">
        <f>Table1[[#This Row],[تاريخ التسليم]]-Table1[[#This Row],[ميعاد التسليم]]</f>
        <v>9</v>
      </c>
      <c r="R118" s="29" t="str">
        <f>IF(Table1[[#This Row],[مده التوصيل]]&lt;=0, "yes", "no")</f>
        <v>no</v>
      </c>
      <c r="S118" s="28" t="s">
        <v>192</v>
      </c>
      <c r="T118" s="28" t="s">
        <v>100</v>
      </c>
    </row>
    <row r="119" spans="1:20" ht="20.100000000000001" customHeight="1" x14ac:dyDescent="0.25">
      <c r="A119" s="28" t="s">
        <v>126</v>
      </c>
      <c r="B119" s="27" t="s">
        <v>221</v>
      </c>
      <c r="C119" s="28" t="s">
        <v>46</v>
      </c>
      <c r="D119" s="28" t="s">
        <v>173</v>
      </c>
      <c r="E119" s="28" t="s">
        <v>4</v>
      </c>
      <c r="F119" s="28" t="s">
        <v>70</v>
      </c>
      <c r="G119" s="28" t="s">
        <v>73</v>
      </c>
      <c r="H119" s="28" t="s">
        <v>75</v>
      </c>
      <c r="I119" s="27" t="s">
        <v>81</v>
      </c>
      <c r="J119" s="27" t="s">
        <v>190</v>
      </c>
      <c r="K119" s="30">
        <v>5100</v>
      </c>
      <c r="L119" s="27" t="s">
        <v>229</v>
      </c>
      <c r="M119" s="31">
        <v>45593</v>
      </c>
      <c r="N119" s="31">
        <v>45607</v>
      </c>
      <c r="O119" s="31" t="str">
        <f>TEXT(Table1[[#This Row],[ميعاد الطلب]],"mmm")</f>
        <v>Oct</v>
      </c>
      <c r="P119" s="31">
        <v>45617</v>
      </c>
      <c r="Q119" s="32">
        <f>Table1[[#This Row],[تاريخ التسليم]]-Table1[[#This Row],[ميعاد التسليم]]</f>
        <v>10</v>
      </c>
      <c r="R119" s="29" t="str">
        <f>IF(Table1[[#This Row],[مده التوصيل]]&lt;=0, "yes", "no")</f>
        <v>no</v>
      </c>
      <c r="S119" s="28" t="s">
        <v>192</v>
      </c>
      <c r="T119" s="28" t="s">
        <v>100</v>
      </c>
    </row>
    <row r="120" spans="1:20" ht="20.100000000000001" customHeight="1" x14ac:dyDescent="0.25">
      <c r="A120" s="28" t="s">
        <v>126</v>
      </c>
      <c r="B120" s="27" t="s">
        <v>221</v>
      </c>
      <c r="C120" s="28" t="s">
        <v>46</v>
      </c>
      <c r="D120" s="28" t="s">
        <v>173</v>
      </c>
      <c r="E120" s="28" t="s">
        <v>4</v>
      </c>
      <c r="F120" s="28" t="s">
        <v>70</v>
      </c>
      <c r="G120" s="28" t="s">
        <v>73</v>
      </c>
      <c r="H120" s="28" t="s">
        <v>75</v>
      </c>
      <c r="I120" s="27" t="s">
        <v>81</v>
      </c>
      <c r="J120" s="27" t="s">
        <v>190</v>
      </c>
      <c r="K120" s="30">
        <v>5300</v>
      </c>
      <c r="L120" s="27" t="s">
        <v>229</v>
      </c>
      <c r="M120" s="31">
        <v>45593</v>
      </c>
      <c r="N120" s="31">
        <v>45607</v>
      </c>
      <c r="O120" s="31" t="str">
        <f>TEXT(Table1[[#This Row],[ميعاد الطلب]],"mmm")</f>
        <v>Oct</v>
      </c>
      <c r="P120" s="31">
        <v>45617</v>
      </c>
      <c r="Q120" s="32">
        <f>Table1[[#This Row],[تاريخ التسليم]]-Table1[[#This Row],[ميعاد التسليم]]</f>
        <v>10</v>
      </c>
      <c r="R120" s="29" t="str">
        <f>IF(Table1[[#This Row],[مده التوصيل]]&lt;=0, "yes", "no")</f>
        <v>no</v>
      </c>
      <c r="S120" s="28" t="s">
        <v>192</v>
      </c>
      <c r="T120" s="28" t="s">
        <v>100</v>
      </c>
    </row>
    <row r="121" spans="1:20" ht="20.100000000000001" customHeight="1" x14ac:dyDescent="0.25">
      <c r="A121" s="28" t="s">
        <v>141</v>
      </c>
      <c r="B121" s="27" t="s">
        <v>221</v>
      </c>
      <c r="C121" s="28" t="s">
        <v>185</v>
      </c>
      <c r="D121" s="28" t="s">
        <v>171</v>
      </c>
      <c r="E121" s="28" t="s">
        <v>4</v>
      </c>
      <c r="F121" s="28" t="s">
        <v>142</v>
      </c>
      <c r="G121" s="28" t="s">
        <v>94</v>
      </c>
      <c r="H121" s="28" t="s">
        <v>4</v>
      </c>
      <c r="I121" s="27" t="s">
        <v>82</v>
      </c>
      <c r="J121" s="27" t="s">
        <v>190</v>
      </c>
      <c r="K121" s="30">
        <v>8449</v>
      </c>
      <c r="L121" s="27" t="s">
        <v>10</v>
      </c>
      <c r="M121" s="31">
        <v>45623</v>
      </c>
      <c r="N121" s="31">
        <v>45636</v>
      </c>
      <c r="O121" s="31" t="str">
        <f>TEXT(Table1[[#This Row],[ميعاد الطلب]],"mmm")</f>
        <v>Nov</v>
      </c>
      <c r="P121" s="31">
        <v>45649</v>
      </c>
      <c r="Q121" s="32">
        <f>Table1[[#This Row],[تاريخ التسليم]]-Table1[[#This Row],[ميعاد التسليم]]</f>
        <v>13</v>
      </c>
      <c r="R121" s="29" t="str">
        <f>IF(Table1[[#This Row],[مده التوصيل]]&lt;=0, "yes", "no")</f>
        <v>no</v>
      </c>
      <c r="S121" s="28" t="s">
        <v>191</v>
      </c>
      <c r="T121" s="28" t="s">
        <v>100</v>
      </c>
    </row>
    <row r="122" spans="1:20" ht="20.100000000000001" customHeight="1" x14ac:dyDescent="0.25">
      <c r="A122" s="28" t="s">
        <v>47</v>
      </c>
      <c r="B122" s="27" t="s">
        <v>221</v>
      </c>
      <c r="C122" s="28" t="s">
        <v>172</v>
      </c>
      <c r="D122" s="28" t="s">
        <v>169</v>
      </c>
      <c r="E122" s="28" t="s">
        <v>4</v>
      </c>
      <c r="F122" s="28" t="s">
        <v>70</v>
      </c>
      <c r="G122" s="28" t="s">
        <v>80</v>
      </c>
      <c r="H122" s="29" t="s">
        <v>74</v>
      </c>
      <c r="I122" s="27" t="s">
        <v>81</v>
      </c>
      <c r="J122" s="27" t="s">
        <v>190</v>
      </c>
      <c r="K122" s="30">
        <v>10999</v>
      </c>
      <c r="L122" s="27" t="s">
        <v>10</v>
      </c>
      <c r="M122" s="31">
        <v>45548</v>
      </c>
      <c r="N122" s="31">
        <v>45565</v>
      </c>
      <c r="O122" s="31" t="str">
        <f>TEXT(Table1[[#This Row],[ميعاد الطلب]],"mmm")</f>
        <v>Sep</v>
      </c>
      <c r="P122" s="31">
        <v>45580</v>
      </c>
      <c r="Q122" s="32">
        <f>Table1[[#This Row],[تاريخ التسليم]]-Table1[[#This Row],[ميعاد التسليم]]</f>
        <v>15</v>
      </c>
      <c r="R122" s="29" t="str">
        <f>IF(Table1[[#This Row],[مده التوصيل]]&lt;=0, "yes", "no")</f>
        <v>no</v>
      </c>
      <c r="S122" s="28" t="s">
        <v>192</v>
      </c>
      <c r="T122" s="28" t="s">
        <v>100</v>
      </c>
    </row>
    <row r="123" spans="1:20" ht="20.100000000000001" customHeight="1" x14ac:dyDescent="0.25">
      <c r="A123" s="28" t="s">
        <v>99</v>
      </c>
      <c r="B123" s="27" t="s">
        <v>221</v>
      </c>
      <c r="C123" s="28" t="s">
        <v>68</v>
      </c>
      <c r="D123" s="28" t="s">
        <v>107</v>
      </c>
      <c r="E123" s="28" t="s">
        <v>4</v>
      </c>
      <c r="F123" s="28" t="s">
        <v>142</v>
      </c>
      <c r="G123" s="28" t="s">
        <v>94</v>
      </c>
      <c r="H123" s="28" t="s">
        <v>4</v>
      </c>
      <c r="I123" s="27" t="s">
        <v>82</v>
      </c>
      <c r="J123" s="27" t="s">
        <v>190</v>
      </c>
      <c r="K123" s="30">
        <v>7849</v>
      </c>
      <c r="L123" s="27" t="s">
        <v>229</v>
      </c>
      <c r="M123" s="31">
        <v>45550</v>
      </c>
      <c r="N123" s="31">
        <v>45595</v>
      </c>
      <c r="O123" s="31" t="str">
        <f>TEXT(Table1[[#This Row],[ميعاد الطلب]],"mmm")</f>
        <v>Sep</v>
      </c>
      <c r="P123" s="31">
        <v>45610</v>
      </c>
      <c r="Q123" s="32">
        <f>Table1[[#This Row],[تاريخ التسليم]]-Table1[[#This Row],[ميعاد التسليم]]</f>
        <v>15</v>
      </c>
      <c r="R123" s="29" t="str">
        <f>IF(Table1[[#This Row],[مده التوصيل]]&lt;=0, "yes", "no")</f>
        <v>no</v>
      </c>
      <c r="S123" s="28" t="s">
        <v>191</v>
      </c>
      <c r="T123" s="28" t="s">
        <v>100</v>
      </c>
    </row>
    <row r="124" spans="1:20" ht="20.100000000000001" customHeight="1" x14ac:dyDescent="0.25">
      <c r="A124" s="28" t="s">
        <v>21</v>
      </c>
      <c r="B124" s="27" t="s">
        <v>225</v>
      </c>
      <c r="C124" s="28" t="s">
        <v>20</v>
      </c>
      <c r="D124" s="28" t="s">
        <v>173</v>
      </c>
      <c r="E124" s="28" t="s">
        <v>21</v>
      </c>
      <c r="F124" s="28" t="s">
        <v>76</v>
      </c>
      <c r="G124" s="28" t="s">
        <v>78</v>
      </c>
      <c r="H124" s="28" t="s">
        <v>21</v>
      </c>
      <c r="I124" s="27" t="s">
        <v>82</v>
      </c>
      <c r="J124" s="27" t="s">
        <v>190</v>
      </c>
      <c r="K124" s="30">
        <v>22000</v>
      </c>
      <c r="L124" s="27" t="s">
        <v>229</v>
      </c>
      <c r="M124" s="31">
        <v>45523</v>
      </c>
      <c r="N124" s="31">
        <v>45536</v>
      </c>
      <c r="O124" s="31" t="str">
        <f>TEXT(Table1[[#This Row],[ميعاد الطلب]],"mmm")</f>
        <v>Aug</v>
      </c>
      <c r="P124" s="31">
        <v>45552</v>
      </c>
      <c r="Q124" s="32">
        <f>Table1[[#This Row],[تاريخ التسليم]]-Table1[[#This Row],[ميعاد التسليم]]</f>
        <v>16</v>
      </c>
      <c r="R124" s="29" t="str">
        <f>IF(Table1[[#This Row],[مده التوصيل]]&lt;=0, "yes", "no")</f>
        <v>no</v>
      </c>
      <c r="S124" s="28" t="s">
        <v>192</v>
      </c>
      <c r="T124" s="28" t="s">
        <v>100</v>
      </c>
    </row>
    <row r="125" spans="1:20" ht="20.100000000000001" customHeight="1" x14ac:dyDescent="0.25">
      <c r="A125" s="28" t="s">
        <v>38</v>
      </c>
      <c r="B125" s="27" t="s">
        <v>221</v>
      </c>
      <c r="C125" s="28" t="s">
        <v>52</v>
      </c>
      <c r="D125" s="28" t="s">
        <v>52</v>
      </c>
      <c r="E125" s="28" t="s">
        <v>4</v>
      </c>
      <c r="F125" s="28" t="s">
        <v>70</v>
      </c>
      <c r="G125" s="28" t="s">
        <v>80</v>
      </c>
      <c r="H125" s="29" t="s">
        <v>74</v>
      </c>
      <c r="I125" s="27" t="s">
        <v>81</v>
      </c>
      <c r="J125" s="27" t="s">
        <v>190</v>
      </c>
      <c r="K125" s="30">
        <v>10999</v>
      </c>
      <c r="L125" s="27" t="s">
        <v>10</v>
      </c>
      <c r="M125" s="31">
        <v>45548</v>
      </c>
      <c r="N125" s="31">
        <v>45565</v>
      </c>
      <c r="O125" s="31" t="str">
        <f>TEXT(Table1[[#This Row],[ميعاد الطلب]],"mmm")</f>
        <v>Sep</v>
      </c>
      <c r="P125" s="31">
        <v>45581</v>
      </c>
      <c r="Q125" s="32">
        <f>Table1[[#This Row],[تاريخ التسليم]]-Table1[[#This Row],[ميعاد التسليم]]</f>
        <v>16</v>
      </c>
      <c r="R125" s="29" t="str">
        <f>IF(Table1[[#This Row],[مده التوصيل]]&lt;=0, "yes", "no")</f>
        <v>no</v>
      </c>
      <c r="S125" s="28" t="s">
        <v>191</v>
      </c>
      <c r="T125" s="28" t="s">
        <v>100</v>
      </c>
    </row>
    <row r="126" spans="1:20" ht="20.100000000000001" customHeight="1" x14ac:dyDescent="0.25">
      <c r="A126" s="28" t="s">
        <v>41</v>
      </c>
      <c r="B126" s="27" t="s">
        <v>221</v>
      </c>
      <c r="C126" s="28" t="s">
        <v>172</v>
      </c>
      <c r="D126" s="28" t="s">
        <v>169</v>
      </c>
      <c r="E126" s="28" t="s">
        <v>4</v>
      </c>
      <c r="F126" s="28" t="s">
        <v>70</v>
      </c>
      <c r="G126" s="28" t="s">
        <v>80</v>
      </c>
      <c r="H126" s="29" t="s">
        <v>74</v>
      </c>
      <c r="I126" s="27" t="s">
        <v>87</v>
      </c>
      <c r="J126" s="27" t="s">
        <v>190</v>
      </c>
      <c r="K126" s="30">
        <v>13849</v>
      </c>
      <c r="L126" s="27" t="s">
        <v>10</v>
      </c>
      <c r="M126" s="31">
        <v>45548</v>
      </c>
      <c r="N126" s="31">
        <v>45565</v>
      </c>
      <c r="O126" s="31" t="str">
        <f>TEXT(Table1[[#This Row],[ميعاد الطلب]],"mmm")</f>
        <v>Sep</v>
      </c>
      <c r="P126" s="31">
        <v>45585</v>
      </c>
      <c r="Q126" s="32">
        <f>Table1[[#This Row],[تاريخ التسليم]]-Table1[[#This Row],[ميعاد التسليم]]</f>
        <v>20</v>
      </c>
      <c r="R126" s="29" t="str">
        <f>IF(Table1[[#This Row],[مده التوصيل]]&lt;=0, "yes", "no")</f>
        <v>no</v>
      </c>
      <c r="S126" s="28" t="s">
        <v>192</v>
      </c>
      <c r="T126" s="28" t="s">
        <v>100</v>
      </c>
    </row>
    <row r="127" spans="1:20" x14ac:dyDescent="0.25">
      <c r="B127" s="36"/>
    </row>
  </sheetData>
  <phoneticPr fontId="5"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B135-998D-454A-A8B4-6EFE34FAC8FC}">
  <dimension ref="A1:T126"/>
  <sheetViews>
    <sheetView topLeftCell="F1" workbookViewId="0">
      <selection activeCell="G147" sqref="G147"/>
    </sheetView>
  </sheetViews>
  <sheetFormatPr defaultRowHeight="15" x14ac:dyDescent="0.25"/>
  <cols>
    <col min="1" max="1" width="13.140625" bestFit="1" customWidth="1"/>
    <col min="2" max="2" width="15.42578125" bestFit="1" customWidth="1"/>
    <col min="3" max="3" width="17.7109375" bestFit="1" customWidth="1"/>
    <col min="5" max="5" width="9.140625" style="11"/>
    <col min="6" max="6" width="18.5703125" bestFit="1" customWidth="1"/>
    <col min="7" max="7" width="13.140625" bestFit="1" customWidth="1"/>
    <col min="8" max="8" width="18.5703125" bestFit="1" customWidth="1"/>
    <col min="9" max="9" width="4.7109375" bestFit="1" customWidth="1"/>
    <col min="10" max="10" width="4.5703125" bestFit="1" customWidth="1"/>
    <col min="11" max="11" width="7.140625" bestFit="1" customWidth="1"/>
    <col min="12" max="12" width="8.28515625" style="40" customWidth="1"/>
    <col min="13" max="13" width="8.140625" bestFit="1" customWidth="1"/>
    <col min="14" max="14" width="15.42578125" bestFit="1" customWidth="1"/>
    <col min="15" max="15" width="16.28515625" bestFit="1" customWidth="1"/>
    <col min="16" max="17" width="11.28515625" bestFit="1" customWidth="1"/>
    <col min="18" max="18" width="8" bestFit="1" customWidth="1"/>
    <col min="19" max="19" width="7" bestFit="1" customWidth="1"/>
    <col min="20" max="20" width="11.28515625" bestFit="1" customWidth="1"/>
    <col min="21" max="22" width="8" bestFit="1" customWidth="1"/>
    <col min="23" max="23" width="10.140625" bestFit="1" customWidth="1"/>
    <col min="24" max="24" width="8.5703125" bestFit="1" customWidth="1"/>
    <col min="25" max="25" width="11.5703125" bestFit="1" customWidth="1"/>
    <col min="26" max="26" width="9" bestFit="1" customWidth="1"/>
    <col min="27" max="28" width="8" bestFit="1" customWidth="1"/>
    <col min="29" max="29" width="12" bestFit="1" customWidth="1"/>
    <col min="30" max="30" width="8.42578125" bestFit="1" customWidth="1"/>
    <col min="31" max="31" width="8" bestFit="1" customWidth="1"/>
    <col min="32" max="32" width="7" bestFit="1" customWidth="1"/>
    <col min="33" max="33" width="11.42578125" bestFit="1" customWidth="1"/>
    <col min="34" max="35" width="9" bestFit="1" customWidth="1"/>
    <col min="36" max="37" width="8" bestFit="1" customWidth="1"/>
    <col min="38" max="38" width="7" bestFit="1" customWidth="1"/>
    <col min="39" max="39" width="10.85546875" bestFit="1" customWidth="1"/>
    <col min="40" max="40" width="11.28515625" bestFit="1" customWidth="1"/>
  </cols>
  <sheetData>
    <row r="1" spans="1:16" ht="28.5" x14ac:dyDescent="0.45">
      <c r="A1" s="37" t="s">
        <v>197</v>
      </c>
      <c r="B1" s="37"/>
      <c r="C1" s="37"/>
      <c r="F1" s="37" t="s">
        <v>203</v>
      </c>
      <c r="G1" s="37"/>
      <c r="H1" s="37"/>
      <c r="I1" s="37"/>
      <c r="J1" s="37"/>
      <c r="K1" s="37"/>
    </row>
    <row r="3" spans="1:16" x14ac:dyDescent="0.25">
      <c r="B3" t="s">
        <v>198</v>
      </c>
      <c r="G3" s="2" t="s">
        <v>207</v>
      </c>
      <c r="H3" s="2" t="s">
        <v>164</v>
      </c>
      <c r="N3" s="2" t="s">
        <v>198</v>
      </c>
      <c r="O3" s="2" t="s">
        <v>164</v>
      </c>
    </row>
    <row r="4" spans="1:16" x14ac:dyDescent="0.25">
      <c r="B4" s="10">
        <v>1280802.9100000001</v>
      </c>
      <c r="C4" s="10">
        <f>GETPIVOTDATA("سعر البيع ",$B$3)</f>
        <v>1280802.9100000001</v>
      </c>
      <c r="G4" s="2" t="s">
        <v>162</v>
      </c>
      <c r="H4" t="s">
        <v>100</v>
      </c>
      <c r="I4" t="s">
        <v>163</v>
      </c>
      <c r="N4" s="2" t="s">
        <v>162</v>
      </c>
      <c r="O4" t="s">
        <v>100</v>
      </c>
      <c r="P4" t="s">
        <v>163</v>
      </c>
    </row>
    <row r="5" spans="1:16" x14ac:dyDescent="0.25">
      <c r="G5" s="3" t="s">
        <v>205</v>
      </c>
      <c r="H5" s="13">
        <v>0.51960784313725494</v>
      </c>
      <c r="I5" s="13">
        <v>0.51960784313725494</v>
      </c>
      <c r="N5" s="3" t="s">
        <v>222</v>
      </c>
      <c r="O5" s="39">
        <v>20320</v>
      </c>
      <c r="P5" s="39">
        <v>20320</v>
      </c>
    </row>
    <row r="6" spans="1:16" x14ac:dyDescent="0.25">
      <c r="A6" s="11"/>
      <c r="B6" s="11"/>
      <c r="C6" s="11"/>
      <c r="D6" s="11"/>
      <c r="G6" s="3" t="s">
        <v>206</v>
      </c>
      <c r="H6" s="13">
        <v>0.48039215686274511</v>
      </c>
      <c r="I6" s="13">
        <v>0.48039215686274511</v>
      </c>
      <c r="N6" s="3" t="s">
        <v>224</v>
      </c>
      <c r="O6" s="39">
        <v>76420</v>
      </c>
      <c r="P6" s="39">
        <v>76420</v>
      </c>
    </row>
    <row r="7" spans="1:16" x14ac:dyDescent="0.25">
      <c r="G7" s="3" t="s">
        <v>163</v>
      </c>
      <c r="H7" s="13">
        <v>1</v>
      </c>
      <c r="I7" s="13">
        <v>1</v>
      </c>
      <c r="N7" s="3" t="s">
        <v>226</v>
      </c>
      <c r="O7" s="39">
        <v>535083</v>
      </c>
      <c r="P7" s="39">
        <v>535083</v>
      </c>
    </row>
    <row r="8" spans="1:16" ht="28.5" x14ac:dyDescent="0.45">
      <c r="A8" s="37" t="s">
        <v>199</v>
      </c>
      <c r="B8" s="37"/>
      <c r="C8" s="37"/>
      <c r="N8" s="3" t="s">
        <v>223</v>
      </c>
      <c r="O8" s="39">
        <v>205856</v>
      </c>
      <c r="P8" s="39">
        <v>205856</v>
      </c>
    </row>
    <row r="9" spans="1:16" x14ac:dyDescent="0.25">
      <c r="N9" s="3" t="s">
        <v>228</v>
      </c>
      <c r="O9" s="39">
        <v>136659</v>
      </c>
      <c r="P9" s="39">
        <v>136659</v>
      </c>
    </row>
    <row r="10" spans="1:16" x14ac:dyDescent="0.25">
      <c r="B10" t="s">
        <v>195</v>
      </c>
      <c r="N10" s="3" t="s">
        <v>227</v>
      </c>
      <c r="O10" s="39">
        <v>58909</v>
      </c>
      <c r="P10" s="39">
        <v>58909</v>
      </c>
    </row>
    <row r="11" spans="1:16" x14ac:dyDescent="0.25">
      <c r="B11" s="12">
        <v>125</v>
      </c>
      <c r="C11" s="12">
        <f>GETPIVOTDATA("أسم العميل",$B$10)</f>
        <v>125</v>
      </c>
      <c r="N11" s="3" t="s">
        <v>163</v>
      </c>
      <c r="O11" s="39">
        <v>1033247</v>
      </c>
      <c r="P11" s="39">
        <v>1033247</v>
      </c>
    </row>
    <row r="13" spans="1:16" x14ac:dyDescent="0.25">
      <c r="A13" s="11"/>
      <c r="B13" s="11"/>
      <c r="C13" s="11"/>
      <c r="D13" s="11"/>
    </row>
    <row r="15" spans="1:16" ht="28.5" x14ac:dyDescent="0.45">
      <c r="A15" s="37" t="s">
        <v>200</v>
      </c>
      <c r="B15" s="37"/>
      <c r="C15" s="37"/>
    </row>
    <row r="17" spans="1:11" x14ac:dyDescent="0.25">
      <c r="B17" t="s">
        <v>201</v>
      </c>
    </row>
    <row r="18" spans="1:11" x14ac:dyDescent="0.25">
      <c r="B18" s="12">
        <v>10246.423280000001</v>
      </c>
      <c r="C18" s="12">
        <f>GETPIVOTDATA("سعر البيع ",$B$17)</f>
        <v>10246.423280000001</v>
      </c>
    </row>
    <row r="20" spans="1:11" x14ac:dyDescent="0.25">
      <c r="A20" s="11"/>
      <c r="B20" s="11"/>
      <c r="C20" s="11"/>
      <c r="D20" s="11"/>
    </row>
    <row r="22" spans="1:11" ht="28.5" customHeight="1" x14ac:dyDescent="0.25">
      <c r="A22" s="38" t="s">
        <v>202</v>
      </c>
      <c r="B22" s="38"/>
      <c r="C22" s="38"/>
    </row>
    <row r="23" spans="1:11" ht="15" customHeight="1" x14ac:dyDescent="0.25">
      <c r="A23" s="38"/>
      <c r="B23" s="38"/>
      <c r="C23" s="38"/>
      <c r="F23" s="11"/>
      <c r="G23" s="11"/>
      <c r="H23" s="11"/>
      <c r="I23" s="11"/>
      <c r="J23" s="11"/>
      <c r="K23" s="11"/>
    </row>
    <row r="24" spans="1:11" x14ac:dyDescent="0.25">
      <c r="A24" s="38"/>
      <c r="B24" s="38"/>
      <c r="C24" s="38"/>
    </row>
    <row r="25" spans="1:11" ht="28.5" x14ac:dyDescent="0.45">
      <c r="F25" s="37" t="s">
        <v>208</v>
      </c>
      <c r="G25" s="37"/>
      <c r="H25" s="37"/>
      <c r="I25" s="37"/>
      <c r="J25" s="37"/>
      <c r="K25" s="37"/>
    </row>
    <row r="26" spans="1:11" x14ac:dyDescent="0.25">
      <c r="B26" s="2" t="s">
        <v>162</v>
      </c>
      <c r="C26" t="s">
        <v>195</v>
      </c>
    </row>
    <row r="27" spans="1:11" x14ac:dyDescent="0.25">
      <c r="B27" s="3" t="s">
        <v>27</v>
      </c>
      <c r="C27" s="39">
        <v>1</v>
      </c>
      <c r="G27" s="2" t="s">
        <v>162</v>
      </c>
      <c r="H27" t="s">
        <v>209</v>
      </c>
    </row>
    <row r="28" spans="1:11" x14ac:dyDescent="0.25">
      <c r="B28" s="3" t="s">
        <v>117</v>
      </c>
      <c r="C28" s="39">
        <v>1</v>
      </c>
      <c r="G28" s="3" t="s">
        <v>18</v>
      </c>
      <c r="H28" s="39">
        <v>18</v>
      </c>
    </row>
    <row r="29" spans="1:11" x14ac:dyDescent="0.25">
      <c r="B29" s="3" t="s">
        <v>93</v>
      </c>
      <c r="C29" s="39">
        <v>1</v>
      </c>
      <c r="G29" s="3" t="s">
        <v>23</v>
      </c>
      <c r="H29" s="39">
        <v>17</v>
      </c>
    </row>
    <row r="30" spans="1:11" x14ac:dyDescent="0.25">
      <c r="B30" s="3" t="s">
        <v>92</v>
      </c>
      <c r="C30" s="39">
        <v>2</v>
      </c>
      <c r="G30" s="3" t="s">
        <v>172</v>
      </c>
      <c r="H30" s="39">
        <v>16</v>
      </c>
    </row>
    <row r="31" spans="1:11" x14ac:dyDescent="0.25">
      <c r="B31" s="3" t="s">
        <v>120</v>
      </c>
      <c r="C31" s="39">
        <v>1</v>
      </c>
      <c r="G31" s="3" t="s">
        <v>176</v>
      </c>
      <c r="H31" s="39">
        <v>10</v>
      </c>
    </row>
    <row r="32" spans="1:11" x14ac:dyDescent="0.25">
      <c r="B32" s="3" t="s">
        <v>119</v>
      </c>
      <c r="C32" s="39">
        <v>1</v>
      </c>
      <c r="G32" s="3" t="s">
        <v>20</v>
      </c>
      <c r="H32" s="39">
        <v>9</v>
      </c>
    </row>
    <row r="33" spans="1:8" x14ac:dyDescent="0.25">
      <c r="B33" s="3" t="s">
        <v>19</v>
      </c>
      <c r="C33" s="39">
        <v>1</v>
      </c>
      <c r="G33" s="3" t="s">
        <v>46</v>
      </c>
      <c r="H33" s="39">
        <v>7</v>
      </c>
    </row>
    <row r="34" spans="1:8" x14ac:dyDescent="0.25">
      <c r="B34" s="3" t="s">
        <v>17</v>
      </c>
      <c r="C34" s="39">
        <v>6</v>
      </c>
      <c r="G34" s="3" t="s">
        <v>107</v>
      </c>
      <c r="H34" s="39">
        <v>4</v>
      </c>
    </row>
    <row r="35" spans="1:8" x14ac:dyDescent="0.25">
      <c r="B35" s="3" t="s">
        <v>62</v>
      </c>
      <c r="C35" s="39">
        <v>1</v>
      </c>
      <c r="G35" s="3" t="s">
        <v>174</v>
      </c>
      <c r="H35" s="39">
        <v>4</v>
      </c>
    </row>
    <row r="36" spans="1:8" x14ac:dyDescent="0.25">
      <c r="B36" s="3" t="s">
        <v>58</v>
      </c>
      <c r="C36" s="39">
        <v>2</v>
      </c>
      <c r="G36" s="3" t="s">
        <v>37</v>
      </c>
      <c r="H36" s="39">
        <v>4</v>
      </c>
    </row>
    <row r="37" spans="1:8" x14ac:dyDescent="0.25">
      <c r="A37">
        <f>COUNTA(_xlfn.UNIQUE(Table1[أسم العميل]))</f>
        <v>76</v>
      </c>
      <c r="B37" s="3" t="s">
        <v>146</v>
      </c>
      <c r="C37" s="39">
        <v>1</v>
      </c>
      <c r="G37" s="3" t="s">
        <v>68</v>
      </c>
      <c r="H37" s="39">
        <v>4</v>
      </c>
    </row>
    <row r="38" spans="1:8" x14ac:dyDescent="0.25">
      <c r="B38" s="3" t="s">
        <v>29</v>
      </c>
      <c r="C38" s="39">
        <v>1</v>
      </c>
      <c r="G38" s="3" t="s">
        <v>163</v>
      </c>
      <c r="H38" s="39">
        <v>93</v>
      </c>
    </row>
    <row r="39" spans="1:8" x14ac:dyDescent="0.25">
      <c r="B39" s="3" t="s">
        <v>99</v>
      </c>
      <c r="C39" s="39">
        <v>1</v>
      </c>
    </row>
    <row r="40" spans="1:8" x14ac:dyDescent="0.25">
      <c r="B40" s="3" t="s">
        <v>47</v>
      </c>
      <c r="C40" s="39">
        <v>1</v>
      </c>
    </row>
    <row r="41" spans="1:8" x14ac:dyDescent="0.25">
      <c r="B41" s="3" t="s">
        <v>40</v>
      </c>
      <c r="C41" s="39">
        <v>1</v>
      </c>
    </row>
    <row r="42" spans="1:8" x14ac:dyDescent="0.25">
      <c r="B42" s="3" t="s">
        <v>106</v>
      </c>
      <c r="C42" s="39">
        <v>4</v>
      </c>
    </row>
    <row r="43" spans="1:8" x14ac:dyDescent="0.25">
      <c r="B43" s="3" t="s">
        <v>35</v>
      </c>
      <c r="C43" s="39">
        <v>11</v>
      </c>
    </row>
    <row r="44" spans="1:8" x14ac:dyDescent="0.25">
      <c r="B44" s="3" t="s">
        <v>53</v>
      </c>
      <c r="C44" s="39">
        <v>1</v>
      </c>
    </row>
    <row r="45" spans="1:8" x14ac:dyDescent="0.25">
      <c r="B45" s="3" t="s">
        <v>140</v>
      </c>
      <c r="C45" s="39">
        <v>1</v>
      </c>
    </row>
    <row r="46" spans="1:8" x14ac:dyDescent="0.25">
      <c r="B46" s="3" t="s">
        <v>41</v>
      </c>
      <c r="C46" s="39">
        <v>1</v>
      </c>
    </row>
    <row r="47" spans="1:8" x14ac:dyDescent="0.25">
      <c r="B47" s="3" t="s">
        <v>126</v>
      </c>
      <c r="C47" s="39">
        <v>2</v>
      </c>
    </row>
    <row r="48" spans="1:8" x14ac:dyDescent="0.25">
      <c r="B48" s="3" t="s">
        <v>21</v>
      </c>
      <c r="C48" s="39">
        <v>8</v>
      </c>
    </row>
    <row r="49" spans="2:15" x14ac:dyDescent="0.25">
      <c r="B49" s="3" t="s">
        <v>150</v>
      </c>
      <c r="C49" s="39">
        <v>1</v>
      </c>
    </row>
    <row r="50" spans="2:15" x14ac:dyDescent="0.25">
      <c r="B50" s="3" t="s">
        <v>44</v>
      </c>
      <c r="C50" s="39">
        <v>1</v>
      </c>
    </row>
    <row r="51" spans="2:15" x14ac:dyDescent="0.25">
      <c r="B51" s="3" t="s">
        <v>51</v>
      </c>
      <c r="C51" s="39">
        <v>1</v>
      </c>
    </row>
    <row r="52" spans="2:15" x14ac:dyDescent="0.25">
      <c r="B52" s="3" t="s">
        <v>30</v>
      </c>
      <c r="C52" s="39">
        <v>1</v>
      </c>
    </row>
    <row r="53" spans="2:15" x14ac:dyDescent="0.25">
      <c r="B53" s="3" t="s">
        <v>66</v>
      </c>
      <c r="C53" s="39">
        <v>1</v>
      </c>
    </row>
    <row r="54" spans="2:15" x14ac:dyDescent="0.25">
      <c r="B54" s="3" t="s">
        <v>132</v>
      </c>
      <c r="C54" s="39">
        <v>1</v>
      </c>
    </row>
    <row r="55" spans="2:15" x14ac:dyDescent="0.25">
      <c r="B55" s="3" t="s">
        <v>158</v>
      </c>
      <c r="C55" s="39">
        <v>1</v>
      </c>
    </row>
    <row r="56" spans="2:15" x14ac:dyDescent="0.25">
      <c r="B56" s="3" t="s">
        <v>9</v>
      </c>
      <c r="C56" s="39">
        <v>1</v>
      </c>
    </row>
    <row r="57" spans="2:15" x14ac:dyDescent="0.25">
      <c r="B57" s="3" t="s">
        <v>65</v>
      </c>
      <c r="C57" s="39">
        <v>1</v>
      </c>
    </row>
    <row r="58" spans="2:15" x14ac:dyDescent="0.25">
      <c r="B58" s="3" t="s">
        <v>57</v>
      </c>
      <c r="C58" s="39">
        <v>1</v>
      </c>
    </row>
    <row r="59" spans="2:15" x14ac:dyDescent="0.25">
      <c r="B59" s="3" t="s">
        <v>61</v>
      </c>
      <c r="C59" s="39">
        <v>1</v>
      </c>
      <c r="F59" s="11"/>
      <c r="G59" s="11"/>
      <c r="H59" s="11"/>
      <c r="I59" s="11"/>
      <c r="J59" s="11"/>
      <c r="K59" s="11"/>
    </row>
    <row r="60" spans="2:15" x14ac:dyDescent="0.25">
      <c r="B60" s="3" t="s">
        <v>31</v>
      </c>
      <c r="C60" s="39">
        <v>1</v>
      </c>
    </row>
    <row r="61" spans="2:15" ht="28.5" x14ac:dyDescent="0.45">
      <c r="B61" s="3" t="s">
        <v>141</v>
      </c>
      <c r="C61" s="39">
        <v>1</v>
      </c>
      <c r="F61" s="37" t="s">
        <v>210</v>
      </c>
      <c r="G61" s="37"/>
      <c r="H61" s="37"/>
      <c r="I61" s="37"/>
      <c r="J61" s="37"/>
      <c r="K61" s="37"/>
    </row>
    <row r="62" spans="2:15" x14ac:dyDescent="0.25">
      <c r="B62" s="3" t="s">
        <v>135</v>
      </c>
      <c r="C62" s="39">
        <v>1</v>
      </c>
    </row>
    <row r="63" spans="2:15" x14ac:dyDescent="0.25">
      <c r="B63" s="3" t="s">
        <v>15</v>
      </c>
      <c r="C63" s="39">
        <v>1</v>
      </c>
      <c r="G63" s="2" t="s">
        <v>162</v>
      </c>
      <c r="H63" t="s">
        <v>211</v>
      </c>
    </row>
    <row r="64" spans="2:15" x14ac:dyDescent="0.25">
      <c r="B64" s="3" t="s">
        <v>60</v>
      </c>
      <c r="C64" s="39">
        <v>5</v>
      </c>
      <c r="G64" s="3" t="s">
        <v>70</v>
      </c>
      <c r="H64" s="39">
        <v>88</v>
      </c>
      <c r="N64" s="2" t="s">
        <v>198</v>
      </c>
      <c r="O64" s="2" t="s">
        <v>164</v>
      </c>
    </row>
    <row r="65" spans="2:20" x14ac:dyDescent="0.25">
      <c r="B65" s="3" t="s">
        <v>38</v>
      </c>
      <c r="C65" s="39">
        <v>1</v>
      </c>
      <c r="G65" s="3" t="s">
        <v>104</v>
      </c>
      <c r="H65" s="39">
        <v>18</v>
      </c>
      <c r="N65" s="2" t="s">
        <v>162</v>
      </c>
      <c r="O65" t="s">
        <v>70</v>
      </c>
      <c r="P65" t="s">
        <v>104</v>
      </c>
      <c r="Q65" t="s">
        <v>142</v>
      </c>
      <c r="R65" t="s">
        <v>76</v>
      </c>
      <c r="S65" t="s">
        <v>79</v>
      </c>
      <c r="T65" t="s">
        <v>163</v>
      </c>
    </row>
    <row r="66" spans="2:20" x14ac:dyDescent="0.25">
      <c r="B66" s="3" t="s">
        <v>13</v>
      </c>
      <c r="C66" s="39">
        <v>1</v>
      </c>
      <c r="G66" s="3" t="s">
        <v>142</v>
      </c>
      <c r="H66" s="39">
        <v>17</v>
      </c>
      <c r="N66" s="3" t="s">
        <v>182</v>
      </c>
      <c r="O66" s="10">
        <v>12999</v>
      </c>
      <c r="P66" s="10"/>
      <c r="Q66" s="10"/>
      <c r="R66" s="10"/>
      <c r="S66" s="10"/>
      <c r="T66" s="10">
        <v>12999</v>
      </c>
    </row>
    <row r="67" spans="2:20" x14ac:dyDescent="0.25">
      <c r="B67" s="3" t="s">
        <v>12</v>
      </c>
      <c r="C67" s="39">
        <v>1</v>
      </c>
      <c r="G67" s="3" t="s">
        <v>76</v>
      </c>
      <c r="H67" s="39">
        <v>1</v>
      </c>
      <c r="N67" s="3" t="s">
        <v>171</v>
      </c>
      <c r="O67" s="10">
        <v>37964</v>
      </c>
      <c r="P67" s="10"/>
      <c r="Q67" s="10">
        <v>16798</v>
      </c>
      <c r="R67" s="10"/>
      <c r="S67" s="10"/>
      <c r="T67" s="10">
        <v>54762</v>
      </c>
    </row>
    <row r="68" spans="2:20" x14ac:dyDescent="0.25">
      <c r="B68" s="3" t="s">
        <v>24</v>
      </c>
      <c r="C68" s="39">
        <v>15</v>
      </c>
      <c r="G68" s="3" t="s">
        <v>79</v>
      </c>
      <c r="H68" s="39">
        <v>1</v>
      </c>
      <c r="N68" s="3" t="s">
        <v>169</v>
      </c>
      <c r="O68" s="10">
        <v>253139</v>
      </c>
      <c r="P68" s="10">
        <v>14550</v>
      </c>
      <c r="Q68" s="10">
        <v>16698</v>
      </c>
      <c r="R68" s="10"/>
      <c r="S68" s="10"/>
      <c r="T68" s="10">
        <v>284387</v>
      </c>
    </row>
    <row r="69" spans="2:20" x14ac:dyDescent="0.25">
      <c r="B69" s="3" t="s">
        <v>45</v>
      </c>
      <c r="C69" s="39">
        <v>1</v>
      </c>
      <c r="G69" s="3" t="s">
        <v>163</v>
      </c>
      <c r="H69" s="39">
        <v>125</v>
      </c>
      <c r="N69" s="3" t="s">
        <v>219</v>
      </c>
      <c r="O69" s="10">
        <v>24288</v>
      </c>
      <c r="P69" s="10"/>
      <c r="Q69" s="10"/>
      <c r="R69" s="10"/>
      <c r="S69" s="10"/>
      <c r="T69" s="10">
        <v>24288</v>
      </c>
    </row>
    <row r="70" spans="2:20" x14ac:dyDescent="0.25">
      <c r="B70" s="3" t="s">
        <v>67</v>
      </c>
      <c r="C70" s="39">
        <v>1</v>
      </c>
      <c r="N70" s="3" t="s">
        <v>107</v>
      </c>
      <c r="O70" s="10">
        <v>35642</v>
      </c>
      <c r="P70" s="10">
        <v>23918</v>
      </c>
      <c r="Q70" s="10">
        <v>16878</v>
      </c>
      <c r="R70" s="10"/>
      <c r="S70" s="10"/>
      <c r="T70" s="10">
        <v>76438</v>
      </c>
    </row>
    <row r="71" spans="2:20" x14ac:dyDescent="0.25">
      <c r="B71" s="3" t="s">
        <v>133</v>
      </c>
      <c r="C71" s="39">
        <v>1</v>
      </c>
      <c r="N71" s="3" t="s">
        <v>52</v>
      </c>
      <c r="O71" s="10">
        <v>10999</v>
      </c>
      <c r="P71" s="10">
        <v>21999</v>
      </c>
      <c r="Q71" s="10">
        <v>8642</v>
      </c>
      <c r="R71" s="10"/>
      <c r="S71" s="10"/>
      <c r="T71" s="10">
        <v>41640</v>
      </c>
    </row>
    <row r="72" spans="2:20" x14ac:dyDescent="0.25">
      <c r="B72" s="3" t="s">
        <v>48</v>
      </c>
      <c r="C72" s="39">
        <v>1</v>
      </c>
      <c r="N72" s="3" t="s">
        <v>173</v>
      </c>
      <c r="O72" s="10">
        <v>468513.91000000003</v>
      </c>
      <c r="P72" s="10">
        <v>194685</v>
      </c>
      <c r="Q72" s="10">
        <v>91790</v>
      </c>
      <c r="R72" s="10">
        <v>22000</v>
      </c>
      <c r="S72" s="10">
        <v>9300</v>
      </c>
      <c r="T72" s="10">
        <v>786288.91</v>
      </c>
    </row>
    <row r="73" spans="2:20" x14ac:dyDescent="0.25">
      <c r="B73" s="3" t="s">
        <v>103</v>
      </c>
      <c r="C73" s="39">
        <v>1</v>
      </c>
      <c r="N73" s="3" t="s">
        <v>163</v>
      </c>
      <c r="O73" s="10">
        <v>843544.91</v>
      </c>
      <c r="P73" s="10">
        <v>255152</v>
      </c>
      <c r="Q73" s="10">
        <v>150806</v>
      </c>
      <c r="R73" s="10">
        <v>22000</v>
      </c>
      <c r="S73" s="10">
        <v>9300</v>
      </c>
      <c r="T73" s="10">
        <v>1280802.9100000001</v>
      </c>
    </row>
    <row r="74" spans="2:20" x14ac:dyDescent="0.25">
      <c r="B74" s="3" t="s">
        <v>55</v>
      </c>
      <c r="C74" s="39">
        <v>1</v>
      </c>
    </row>
    <row r="75" spans="2:20" x14ac:dyDescent="0.25">
      <c r="B75" s="3" t="s">
        <v>34</v>
      </c>
      <c r="C75" s="39">
        <v>1</v>
      </c>
    </row>
    <row r="76" spans="2:20" x14ac:dyDescent="0.25">
      <c r="B76" s="3" t="s">
        <v>32</v>
      </c>
      <c r="C76" s="39">
        <v>1</v>
      </c>
    </row>
    <row r="77" spans="2:20" x14ac:dyDescent="0.25">
      <c r="B77" s="3" t="s">
        <v>22</v>
      </c>
      <c r="C77" s="39">
        <v>1</v>
      </c>
    </row>
    <row r="78" spans="2:20" x14ac:dyDescent="0.25">
      <c r="B78" s="3" t="s">
        <v>114</v>
      </c>
      <c r="C78" s="39">
        <v>1</v>
      </c>
    </row>
    <row r="79" spans="2:20" x14ac:dyDescent="0.25">
      <c r="B79" s="3" t="s">
        <v>125</v>
      </c>
      <c r="C79" s="39">
        <v>1</v>
      </c>
    </row>
    <row r="80" spans="2:20" x14ac:dyDescent="0.25">
      <c r="B80" s="3" t="s">
        <v>64</v>
      </c>
      <c r="C80" s="39">
        <v>1</v>
      </c>
    </row>
    <row r="81" spans="2:11" x14ac:dyDescent="0.25">
      <c r="B81" s="3" t="s">
        <v>25</v>
      </c>
      <c r="C81" s="39">
        <v>2</v>
      </c>
    </row>
    <row r="82" spans="2:11" x14ac:dyDescent="0.25">
      <c r="B82" s="3" t="s">
        <v>56</v>
      </c>
      <c r="C82" s="39">
        <v>1</v>
      </c>
    </row>
    <row r="83" spans="2:11" x14ac:dyDescent="0.25">
      <c r="B83" s="3" t="s">
        <v>28</v>
      </c>
      <c r="C83" s="39">
        <v>1</v>
      </c>
    </row>
    <row r="84" spans="2:11" x14ac:dyDescent="0.25">
      <c r="B84" s="3" t="s">
        <v>138</v>
      </c>
      <c r="C84" s="39">
        <v>1</v>
      </c>
    </row>
    <row r="85" spans="2:11" x14ac:dyDescent="0.25">
      <c r="B85" s="3" t="s">
        <v>127</v>
      </c>
      <c r="C85" s="39">
        <v>1</v>
      </c>
    </row>
    <row r="86" spans="2:11" x14ac:dyDescent="0.25">
      <c r="B86" s="3" t="s">
        <v>154</v>
      </c>
      <c r="C86" s="39">
        <v>1</v>
      </c>
    </row>
    <row r="87" spans="2:11" x14ac:dyDescent="0.25">
      <c r="B87" s="3" t="s">
        <v>143</v>
      </c>
      <c r="C87" s="39">
        <v>1</v>
      </c>
    </row>
    <row r="88" spans="2:11" x14ac:dyDescent="0.25">
      <c r="B88" s="3" t="s">
        <v>11</v>
      </c>
      <c r="C88" s="39">
        <v>1</v>
      </c>
      <c r="F88" s="11"/>
      <c r="G88" s="11"/>
      <c r="H88" s="11"/>
      <c r="I88" s="11"/>
      <c r="J88" s="11"/>
      <c r="K88" s="11"/>
    </row>
    <row r="89" spans="2:11" x14ac:dyDescent="0.25">
      <c r="B89" s="3" t="s">
        <v>155</v>
      </c>
      <c r="C89" s="39">
        <v>1</v>
      </c>
    </row>
    <row r="90" spans="2:11" ht="28.5" x14ac:dyDescent="0.45">
      <c r="B90" s="3" t="s">
        <v>49</v>
      </c>
      <c r="C90" s="39">
        <v>1</v>
      </c>
      <c r="F90" s="37" t="s">
        <v>212</v>
      </c>
      <c r="G90" s="37"/>
      <c r="H90" s="37"/>
      <c r="I90" s="37"/>
      <c r="J90" s="37"/>
      <c r="K90" s="37"/>
    </row>
    <row r="91" spans="2:11" x14ac:dyDescent="0.25">
      <c r="B91" s="3" t="s">
        <v>130</v>
      </c>
      <c r="C91" s="39">
        <v>1</v>
      </c>
    </row>
    <row r="92" spans="2:11" x14ac:dyDescent="0.25">
      <c r="B92" s="3" t="s">
        <v>39</v>
      </c>
      <c r="C92" s="39">
        <v>1</v>
      </c>
      <c r="G92" s="2" t="s">
        <v>162</v>
      </c>
      <c r="H92" t="s">
        <v>198</v>
      </c>
    </row>
    <row r="93" spans="2:11" x14ac:dyDescent="0.25">
      <c r="B93" s="3" t="s">
        <v>54</v>
      </c>
      <c r="C93" s="39">
        <v>1</v>
      </c>
      <c r="G93" s="3" t="s">
        <v>4</v>
      </c>
      <c r="H93" s="10">
        <v>869268</v>
      </c>
    </row>
    <row r="94" spans="2:11" x14ac:dyDescent="0.25">
      <c r="B94" s="3" t="s">
        <v>148</v>
      </c>
      <c r="C94" s="39">
        <v>2</v>
      </c>
      <c r="G94" s="3" t="s">
        <v>24</v>
      </c>
      <c r="H94" s="10">
        <v>194340</v>
      </c>
    </row>
    <row r="95" spans="2:11" x14ac:dyDescent="0.25">
      <c r="B95" s="3" t="s">
        <v>43</v>
      </c>
      <c r="C95" s="39">
        <v>1</v>
      </c>
      <c r="G95" s="3" t="s">
        <v>26</v>
      </c>
      <c r="H95" s="10">
        <v>68731.91</v>
      </c>
    </row>
    <row r="96" spans="2:11" x14ac:dyDescent="0.25">
      <c r="B96" s="3" t="s">
        <v>156</v>
      </c>
      <c r="C96" s="39">
        <v>1</v>
      </c>
      <c r="G96" s="3" t="s">
        <v>21</v>
      </c>
      <c r="H96" s="10">
        <v>66900</v>
      </c>
    </row>
    <row r="97" spans="1:8" x14ac:dyDescent="0.25">
      <c r="B97" s="3" t="s">
        <v>33</v>
      </c>
      <c r="C97" s="39">
        <v>2</v>
      </c>
      <c r="G97" s="3" t="s">
        <v>107</v>
      </c>
      <c r="H97" s="10">
        <v>37062</v>
      </c>
    </row>
    <row r="98" spans="1:8" x14ac:dyDescent="0.25">
      <c r="B98" s="3" t="s">
        <v>121</v>
      </c>
      <c r="C98" s="39">
        <v>1</v>
      </c>
      <c r="G98" s="3" t="s">
        <v>139</v>
      </c>
      <c r="H98" s="10">
        <v>27450</v>
      </c>
    </row>
    <row r="99" spans="1:8" x14ac:dyDescent="0.25">
      <c r="B99" s="3" t="s">
        <v>152</v>
      </c>
      <c r="C99" s="39">
        <v>1</v>
      </c>
      <c r="G99" s="3" t="s">
        <v>130</v>
      </c>
      <c r="H99" s="10">
        <v>9655</v>
      </c>
    </row>
    <row r="100" spans="1:8" x14ac:dyDescent="0.25">
      <c r="B100" s="3" t="s">
        <v>42</v>
      </c>
      <c r="C100" s="39">
        <v>1</v>
      </c>
      <c r="G100" s="3" t="s">
        <v>74</v>
      </c>
      <c r="H100" s="10">
        <v>7396</v>
      </c>
    </row>
    <row r="101" spans="1:8" x14ac:dyDescent="0.25">
      <c r="B101" s="3" t="s">
        <v>102</v>
      </c>
      <c r="C101" s="39">
        <v>1</v>
      </c>
      <c r="G101" s="3" t="s">
        <v>163</v>
      </c>
      <c r="H101" s="39">
        <v>1280802.9099999999</v>
      </c>
    </row>
    <row r="102" spans="1:8" x14ac:dyDescent="0.25">
      <c r="B102" s="3" t="s">
        <v>69</v>
      </c>
      <c r="C102" s="39">
        <v>1</v>
      </c>
    </row>
    <row r="103" spans="1:8" x14ac:dyDescent="0.25">
      <c r="B103" s="3" t="s">
        <v>163</v>
      </c>
      <c r="C103" s="39">
        <v>125</v>
      </c>
    </row>
    <row r="105" spans="1:8" x14ac:dyDescent="0.25">
      <c r="A105" s="11"/>
      <c r="B105" s="11"/>
      <c r="C105" s="11"/>
      <c r="D105" s="11"/>
    </row>
    <row r="107" spans="1:8" ht="28.5" x14ac:dyDescent="0.45">
      <c r="A107" s="37" t="s">
        <v>213</v>
      </c>
      <c r="B107" s="37"/>
      <c r="C107" s="37"/>
    </row>
    <row r="109" spans="1:8" x14ac:dyDescent="0.25">
      <c r="B109" s="2" t="s">
        <v>162</v>
      </c>
      <c r="C109" t="s">
        <v>214</v>
      </c>
    </row>
    <row r="110" spans="1:8" x14ac:dyDescent="0.25">
      <c r="B110" s="3" t="s">
        <v>100</v>
      </c>
      <c r="C110" s="17">
        <v>0.81599999999999995</v>
      </c>
    </row>
    <row r="111" spans="1:8" x14ac:dyDescent="0.25">
      <c r="B111" s="3" t="s">
        <v>98</v>
      </c>
      <c r="C111" s="17">
        <v>0.17599999999999999</v>
      </c>
    </row>
    <row r="112" spans="1:8" x14ac:dyDescent="0.25">
      <c r="B112" s="3" t="s">
        <v>105</v>
      </c>
      <c r="C112" s="17">
        <v>8.0000000000000002E-3</v>
      </c>
    </row>
    <row r="113" spans="1:11" x14ac:dyDescent="0.25">
      <c r="B113" s="3" t="s">
        <v>163</v>
      </c>
      <c r="C113" s="14">
        <v>1</v>
      </c>
    </row>
    <row r="114" spans="1:11" x14ac:dyDescent="0.25">
      <c r="B114" s="17"/>
    </row>
    <row r="115" spans="1:11" x14ac:dyDescent="0.25">
      <c r="B115" s="17"/>
    </row>
    <row r="116" spans="1:11" x14ac:dyDescent="0.25">
      <c r="C116" s="18">
        <f>GETPIVOTDATA("الحالة",$B$109,"الحالة","فشل التسليم")</f>
        <v>0.17599999999999999</v>
      </c>
    </row>
    <row r="118" spans="1:11" x14ac:dyDescent="0.25">
      <c r="F118" s="11"/>
      <c r="G118" s="11"/>
      <c r="H118" s="11"/>
      <c r="I118" s="11"/>
      <c r="J118" s="11"/>
      <c r="K118" s="11"/>
    </row>
    <row r="120" spans="1:11" ht="28.5" x14ac:dyDescent="0.45">
      <c r="F120" s="37" t="s">
        <v>215</v>
      </c>
      <c r="G120" s="37"/>
      <c r="H120" s="37"/>
      <c r="I120" s="37"/>
      <c r="J120" s="37"/>
      <c r="K120" s="37"/>
    </row>
    <row r="122" spans="1:11" x14ac:dyDescent="0.25">
      <c r="A122" s="3"/>
      <c r="G122" s="2" t="s">
        <v>162</v>
      </c>
      <c r="H122" t="s">
        <v>217</v>
      </c>
    </row>
    <row r="123" spans="1:11" x14ac:dyDescent="0.25">
      <c r="A123" s="3"/>
      <c r="G123" s="3" t="s">
        <v>82</v>
      </c>
      <c r="H123" s="39">
        <v>66</v>
      </c>
    </row>
    <row r="124" spans="1:11" x14ac:dyDescent="0.25">
      <c r="A124" s="3"/>
      <c r="G124" s="3" t="s">
        <v>81</v>
      </c>
      <c r="H124" s="39">
        <v>37</v>
      </c>
    </row>
    <row r="125" spans="1:11" x14ac:dyDescent="0.25">
      <c r="G125" s="3" t="s">
        <v>86</v>
      </c>
      <c r="H125" s="39">
        <v>6</v>
      </c>
    </row>
    <row r="126" spans="1:11" x14ac:dyDescent="0.25">
      <c r="G126" s="3" t="s">
        <v>163</v>
      </c>
      <c r="H126" s="39">
        <v>109</v>
      </c>
    </row>
  </sheetData>
  <mergeCells count="10">
    <mergeCell ref="F61:K61"/>
    <mergeCell ref="F90:K90"/>
    <mergeCell ref="A107:C107"/>
    <mergeCell ref="F120:K120"/>
    <mergeCell ref="A22:C24"/>
    <mergeCell ref="F1:K1"/>
    <mergeCell ref="F25:K25"/>
    <mergeCell ref="A1:C1"/>
    <mergeCell ref="A8:C8"/>
    <mergeCell ref="A15:C15"/>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3AFC-0ACF-4341-A7C7-7E7AAC39C65C}">
  <dimension ref="A1"/>
  <sheetViews>
    <sheetView showGridLines="0" tabSelected="1" zoomScaleNormal="100" workbookViewId="0">
      <selection activeCell="N41" sqref="N41"/>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189AF446B8BF647BDC5D9BFF4F2208C" ma:contentTypeVersion="1" ma:contentTypeDescription="Create a new document." ma:contentTypeScope="" ma:versionID="54b7fdb7d700b0688fa7866fbfb0fe7b">
  <xsd:schema xmlns:xsd="http://www.w3.org/2001/XMLSchema" xmlns:xs="http://www.w3.org/2001/XMLSchema" xmlns:p="http://schemas.microsoft.com/office/2006/metadata/properties" xmlns:ns3="e375bd46-0df9-4114-aa87-6ac2bfa7ff7e" targetNamespace="http://schemas.microsoft.com/office/2006/metadata/properties" ma:root="true" ma:fieldsID="a0a30cdce2214af1407d1897e9c7ba6e" ns3:_="">
    <xsd:import namespace="e375bd46-0df9-4114-aa87-6ac2bfa7ff7e"/>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75bd46-0df9-4114-aa87-6ac2bfa7ff7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8A279D2-6B2A-4689-A08D-2326B9031C19}">
  <ds:schemaRefs>
    <ds:schemaRef ds:uri="http://schemas.microsoft.com/sharepoint/v3/contenttype/forms"/>
  </ds:schemaRefs>
</ds:datastoreItem>
</file>

<file path=customXml/itemProps2.xml><?xml version="1.0" encoding="utf-8"?>
<ds:datastoreItem xmlns:ds="http://schemas.openxmlformats.org/officeDocument/2006/customXml" ds:itemID="{DE34A538-C021-4B3E-B735-36211FA18A2B}">
  <ds:schemaRefs>
    <ds:schemaRef ds:uri="http://purl.org/dc/dcmitype/"/>
    <ds:schemaRef ds:uri="http://schemas.microsoft.com/office/2006/documentManagement/types"/>
    <ds:schemaRef ds:uri="e375bd46-0df9-4114-aa87-6ac2bfa7ff7e"/>
    <ds:schemaRef ds:uri="http://schemas.microsoft.com/office/2006/metadata/properti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E696B794-AF9D-4083-8A9B-74FE24B209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75bd46-0df9-4114-aa87-6ac2bfa7ff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56B0423-4F4C-4888-A4F7-F389BBF984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t73675</cp:lastModifiedBy>
  <dcterms:created xsi:type="dcterms:W3CDTF">2015-06-05T18:17:20Z</dcterms:created>
  <dcterms:modified xsi:type="dcterms:W3CDTF">2026-01-08T00:38:31Z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0x0101009189AF446B8BF647BDC5D9BFF4F2208C</vt:lpwstr>
  </property>
</Properties>
</file>